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mplementation Roadmap" sheetId="2" state="visible" r:id="rId2"/>
    <sheet name="ADKAR Assessment" sheetId="3" state="visible" r:id="rId3"/>
    <sheet name="Stakeholder Analysis" sheetId="4" state="visible" r:id="rId4"/>
    <sheet name="Communication Plan" sheetId="5" state="visible" r:id="rId5"/>
    <sheet name="Training Plan" sheetId="6" state="visible" r:id="rId6"/>
    <sheet name="Sponsorship Tracker" sheetId="7" state="visible" r:id="rId7"/>
    <sheet name="Resistance Log" sheetId="8" state="visible" r:id="rId8"/>
    <sheet name="KPI Dashboard" sheetId="9" state="visible" r:id="rId9"/>
    <sheet name="Maturity Assessment" sheetId="10" state="visible" r:id="rId10"/>
    <sheet name="CSF Checklist" sheetId="11" state="visible" r:id="rId11"/>
    <sheet name="Risk Register" sheetId="12" state="visible" r:id="rId12"/>
    <sheet name="Change Impact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2F5496"/>
      <sz val="16"/>
    </font>
    <font>
      <b val="1"/>
      <sz val="12"/>
    </font>
    <font>
      <b val="1"/>
      <color rgb="00FFFFFF"/>
      <sz val="11"/>
    </font>
    <font>
      <b val="1"/>
      <color rgb="002F5496"/>
      <sz val="12"/>
    </font>
    <font>
      <b val="1"/>
      <sz val="10"/>
    </font>
    <font>
      <color rgb="00333333"/>
      <sz val="10"/>
    </font>
    <font>
      <b val="1"/>
      <color rgb="002F5496"/>
      <sz val="11"/>
    </font>
    <font>
      <b val="1"/>
      <sz val="9"/>
    </font>
    <font>
      <b val="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horizontal="left"/>
    </xf>
    <xf numFmtId="0" fontId="2" fillId="0" borderId="0" pivotButton="0" quotePrefix="0" xfId="0"/>
    <xf numFmtId="0" fontId="5" fillId="3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6" fillId="0" borderId="0" applyAlignment="1" pivotButton="0" quotePrefix="0" xfId="0">
      <alignment wrapText="1"/>
    </xf>
    <xf numFmtId="0" fontId="5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xSplit="7" topLeftCell="H1" activePane="topRight" state="frozen"/>
      <selection pane="topRight" activeCell="A1" sqref="A1"/>
    </sheetView>
  </sheetViews>
  <sheetFormatPr baseColWidth="8" defaultRowHeight="15"/>
  <cols>
    <col width="25" customWidth="1" min="1" max="1"/>
    <col width="18" customWidth="1" min="2" max="2"/>
    <col width="12" customWidth="1" min="3" max="3"/>
    <col width="12" customWidth="1" min="4" max="4"/>
    <col width="45" customWidth="1" min="8" max="8"/>
  </cols>
  <sheetData>
    <row r="1">
      <c r="A1" s="1" t="inlineStr">
        <is>
          <t>OCM IMPLEMENTATION DASHBOARD</t>
        </is>
      </c>
      <c r="H1" s="2" t="inlineStr">
        <is>
          <t>INSTRUCTIONS</t>
        </is>
      </c>
    </row>
    <row r="3">
      <c r="A3" s="3" t="inlineStr">
        <is>
          <t>IMPLEMENTATION PROGRESS</t>
        </is>
      </c>
      <c r="H3" s="4" t="inlineStr">
        <is>
          <t>PURPOSE</t>
        </is>
      </c>
    </row>
    <row r="4">
      <c r="A4" s="5" t="inlineStr">
        <is>
          <t>Phase</t>
        </is>
      </c>
      <c r="B4" s="5" t="inlineStr">
        <is>
          <t>Total Activities</t>
        </is>
      </c>
      <c r="C4" s="5" t="inlineStr">
        <is>
          <t>Completed</t>
        </is>
      </c>
      <c r="D4" s="5" t="inlineStr">
        <is>
          <t>% Complete</t>
        </is>
      </c>
      <c r="H4" s="6" t="inlineStr">
        <is>
          <t>Auto-populated dashboard showing</t>
        </is>
      </c>
    </row>
    <row r="5">
      <c r="A5" s="7" t="inlineStr">
        <is>
          <t>Foundation</t>
        </is>
      </c>
      <c r="B5" s="7">
        <f>COUNTIF('Implementation Roadmap'!B:B,"Foundation")</f>
        <v/>
      </c>
      <c r="C5" s="7">
        <f>COUNTIFS('Implementation Roadmap'!B:B,"Foundation",'Implementation Roadmap'!D:D,"Complete")</f>
        <v/>
      </c>
      <c r="D5" s="8">
        <f>IF(B5=0,"N/A",C5/B5)</f>
        <v/>
      </c>
      <c r="H5" s="6" t="inlineStr">
        <is>
          <t>OCM implementation status across</t>
        </is>
      </c>
    </row>
    <row r="6">
      <c r="A6" s="7" t="inlineStr">
        <is>
          <t>Pilot</t>
        </is>
      </c>
      <c r="B6" s="7">
        <f>COUNTIF('Implementation Roadmap'!B:B,"Pilot")</f>
        <v/>
      </c>
      <c r="C6" s="7">
        <f>COUNTIFS('Implementation Roadmap'!B:B,"Pilot",'Implementation Roadmap'!D:D,"Complete")</f>
        <v/>
      </c>
      <c r="D6" s="8">
        <f>IF(B6=0,"N/A",C6/B6)</f>
        <v/>
      </c>
      <c r="H6" s="6" t="inlineStr">
        <is>
          <t>all assessment areas.</t>
        </is>
      </c>
    </row>
    <row r="7">
      <c r="A7" s="7" t="inlineStr">
        <is>
          <t>Expansion</t>
        </is>
      </c>
      <c r="B7" s="7">
        <f>COUNTIF('Implementation Roadmap'!B:B,"Expansion")</f>
        <v/>
      </c>
      <c r="C7" s="7">
        <f>COUNTIFS('Implementation Roadmap'!B:B,"Expansion",'Implementation Roadmap'!D:D,"Complete")</f>
        <v/>
      </c>
      <c r="D7" s="8">
        <f>IF(B7=0,"N/A",C7/B7)</f>
        <v/>
      </c>
    </row>
    <row r="8">
      <c r="A8" s="7" t="inlineStr">
        <is>
          <t>Optimization</t>
        </is>
      </c>
      <c r="B8" s="7">
        <f>COUNTIF('Implementation Roadmap'!B:B,"Optimization")</f>
        <v/>
      </c>
      <c r="C8" s="7">
        <f>COUNTIFS('Implementation Roadmap'!B:B,"Optimization",'Implementation Roadmap'!D:D,"Complete")</f>
        <v/>
      </c>
      <c r="D8" s="8">
        <f>IF(B8=0,"N/A",C8/B8)</f>
        <v/>
      </c>
      <c r="H8" s="4" t="inlineStr">
        <is>
          <t>DATA SOURCES</t>
        </is>
      </c>
    </row>
    <row r="9">
      <c r="H9" s="6" t="inlineStr">
        <is>
          <t>- Implementation Roadmap progress</t>
        </is>
      </c>
    </row>
    <row r="10">
      <c r="A10" s="3" t="inlineStr">
        <is>
          <t>ADKAR ASSESSMENT SUMMARY</t>
        </is>
      </c>
      <c r="H10" s="6" t="inlineStr">
        <is>
          <t>- ADKAR scores from assessment</t>
        </is>
      </c>
    </row>
    <row r="11">
      <c r="A11" s="5" t="inlineStr">
        <is>
          <t>Element</t>
        </is>
      </c>
      <c r="B11" s="5" t="inlineStr">
        <is>
          <t>Avg Score</t>
        </is>
      </c>
      <c r="C11" s="5" t="inlineStr">
        <is>
          <t>Target</t>
        </is>
      </c>
      <c r="D11" s="5" t="inlineStr">
        <is>
          <t>Gap</t>
        </is>
      </c>
      <c r="H11" s="6" t="inlineStr">
        <is>
          <t>- Stakeholder risk calculations</t>
        </is>
      </c>
    </row>
    <row r="12">
      <c r="A12" s="7" t="inlineStr">
        <is>
          <t>Awareness</t>
        </is>
      </c>
      <c r="B12" s="7">
        <f>IFERROR(AVERAGE('ADKAR Assessment'!B:B),0)</f>
        <v/>
      </c>
      <c r="C12" s="7" t="n">
        <v>4</v>
      </c>
      <c r="D12" s="7">
        <f>C12-B12</f>
        <v/>
      </c>
      <c r="H12" s="6" t="inlineStr">
        <is>
          <t>- KPI tracking values</t>
        </is>
      </c>
    </row>
    <row r="13">
      <c r="A13" s="7" t="inlineStr">
        <is>
          <t>Desire</t>
        </is>
      </c>
      <c r="B13" s="7">
        <f>IFERROR(AVERAGE('ADKAR Assessment'!C:C),0)</f>
        <v/>
      </c>
      <c r="C13" s="7" t="n">
        <v>4</v>
      </c>
      <c r="D13" s="7">
        <f>C13-B13</f>
        <v/>
      </c>
      <c r="H13" s="6" t="inlineStr">
        <is>
          <t>- CSF and Maturity scores</t>
        </is>
      </c>
    </row>
    <row r="14">
      <c r="A14" s="7" t="inlineStr">
        <is>
          <t>Knowledge</t>
        </is>
      </c>
      <c r="B14" s="7">
        <f>IFERROR(AVERAGE('ADKAR Assessment'!D:D),0)</f>
        <v/>
      </c>
      <c r="C14" s="7" t="n">
        <v>4</v>
      </c>
      <c r="D14" s="7">
        <f>C14-B14</f>
        <v/>
      </c>
    </row>
    <row r="15">
      <c r="A15" s="7" t="inlineStr">
        <is>
          <t>Ability</t>
        </is>
      </c>
      <c r="B15" s="7">
        <f>IFERROR(AVERAGE('ADKAR Assessment'!E:E),0)</f>
        <v/>
      </c>
      <c r="C15" s="7" t="n">
        <v>4</v>
      </c>
      <c r="D15" s="7">
        <f>C15-B15</f>
        <v/>
      </c>
      <c r="H15" s="4" t="inlineStr">
        <is>
          <t>RISK INDICATORS</t>
        </is>
      </c>
    </row>
    <row r="16">
      <c r="A16" s="7" t="inlineStr">
        <is>
          <t>Reinforcement</t>
        </is>
      </c>
      <c r="B16" s="7">
        <f>IFERROR(AVERAGE('ADKAR Assessment'!F:F),0)</f>
        <v/>
      </c>
      <c r="C16" s="7" t="n">
        <v>4</v>
      </c>
      <c r="D16" s="7">
        <f>C16-B16</f>
        <v/>
      </c>
      <c r="H16" s="6" t="inlineStr">
        <is>
          <t>High Risk: Score &gt; 70</t>
        </is>
      </c>
    </row>
    <row r="17">
      <c r="H17" s="6" t="inlineStr">
        <is>
          <t>Medium Risk: Score 31-70</t>
        </is>
      </c>
    </row>
    <row r="18">
      <c r="A18" s="3" t="inlineStr">
        <is>
          <t>STAKEHOLDER RISK SUMMARY</t>
        </is>
      </c>
      <c r="H18" s="6" t="inlineStr">
        <is>
          <t>Low Risk: Score &lt;= 30</t>
        </is>
      </c>
    </row>
    <row r="19">
      <c r="A19" s="5" t="inlineStr">
        <is>
          <t>Metric</t>
        </is>
      </c>
      <c r="B19" s="5" t="inlineStr">
        <is>
          <t>Value</t>
        </is>
      </c>
    </row>
    <row r="20">
      <c r="A20" s="9" t="inlineStr">
        <is>
          <t>Total Stakeholders</t>
        </is>
      </c>
      <c r="B20" s="7">
        <f>COUNTA('Stakeholder Analysis'!A4:A103)-COUNTBLANK('Stakeholder Analysis'!A4:A103)</f>
        <v/>
      </c>
      <c r="H20" s="4" t="inlineStr">
        <is>
          <t>REFRESH</t>
        </is>
      </c>
    </row>
    <row r="21">
      <c r="A21" s="9" t="inlineStr">
        <is>
          <t>High Risk Count</t>
        </is>
      </c>
      <c r="B21" s="7">
        <f>COUNTIF('Stakeholder Analysis'!L4:L103,"&gt;70")</f>
        <v/>
      </c>
      <c r="H21" s="6" t="inlineStr">
        <is>
          <t>All values auto-update when</t>
        </is>
      </c>
    </row>
    <row r="22">
      <c r="A22" s="9" t="inlineStr">
        <is>
          <t>Medium Risk Count</t>
        </is>
      </c>
      <c r="B22" s="7">
        <f>COUNTIFS('Stakeholder Analysis'!L4:L103,"&gt;30",'Stakeholder Analysis'!L4:L103,"&lt;=70")</f>
        <v/>
      </c>
      <c r="H22" s="6" t="inlineStr">
        <is>
          <t>source sheets are modified.</t>
        </is>
      </c>
    </row>
    <row r="23">
      <c r="A23" s="9" t="inlineStr">
        <is>
          <t>Low Risk Count</t>
        </is>
      </c>
      <c r="B23" s="7">
        <f>COUNTIF('Stakeholder Analysis'!L4:L103,"&lt;=30")</f>
        <v/>
      </c>
    </row>
    <row r="24">
      <c r="A24" s="9" t="inlineStr">
        <is>
          <t>Avg Adjusted Risk</t>
        </is>
      </c>
      <c r="B24" s="7">
        <f>IFERROR(AVERAGE('Stakeholder Analysis'!L4:L103),0)</f>
        <v/>
      </c>
    </row>
    <row r="25">
      <c r="A25" s="9" t="inlineStr">
        <is>
          <t>Leadership Cascade Factor</t>
        </is>
      </c>
      <c r="B25" s="7">
        <f>'Stakeholder Analysis'!S3</f>
        <v/>
      </c>
    </row>
    <row r="27">
      <c r="A27" s="3" t="inlineStr">
        <is>
          <t>KPI SUMMARY</t>
        </is>
      </c>
    </row>
    <row r="28">
      <c r="A28" s="5" t="inlineStr">
        <is>
          <t>KPI</t>
        </is>
      </c>
      <c r="B28" s="5" t="inlineStr">
        <is>
          <t>Current</t>
        </is>
      </c>
      <c r="C28" s="5" t="inlineStr">
        <is>
          <t>Target</t>
        </is>
      </c>
      <c r="D28" s="5" t="inlineStr">
        <is>
          <t>Status</t>
        </is>
      </c>
    </row>
    <row r="29">
      <c r="A29" s="7" t="inlineStr">
        <is>
          <t>Awareness Level</t>
        </is>
      </c>
      <c r="B29" s="7">
        <f>'KPI Dashboard'!C3</f>
        <v/>
      </c>
      <c r="C29" s="7">
        <f>'KPI Dashboard'!D3</f>
        <v/>
      </c>
      <c r="D29" s="7">
        <f>IF(B29="","",IF(B29&gt;=C29,"On Track","At Risk"))</f>
        <v/>
      </c>
    </row>
    <row r="30">
      <c r="A30" s="7" t="inlineStr">
        <is>
          <t>Adoption Rate</t>
        </is>
      </c>
      <c r="B30" s="7">
        <f>'KPI Dashboard'!C4</f>
        <v/>
      </c>
      <c r="C30" s="7">
        <f>'KPI Dashboard'!D4</f>
        <v/>
      </c>
      <c r="D30" s="7">
        <f>IF(B30="","",IF(B30&gt;=C30,"On Track","At Risk"))</f>
        <v/>
      </c>
    </row>
    <row r="31">
      <c r="A31" s="7" t="inlineStr">
        <is>
          <t>Proficiency Level</t>
        </is>
      </c>
      <c r="B31" s="7">
        <f>'KPI Dashboard'!C5</f>
        <v/>
      </c>
      <c r="C31" s="7">
        <f>'KPI Dashboard'!D5</f>
        <v/>
      </c>
      <c r="D31" s="7">
        <f>IF(B31="","",IF(B31&gt;=C31,"On Track","At Risk"))</f>
        <v/>
      </c>
    </row>
    <row r="32">
      <c r="A32" s="7" t="inlineStr">
        <is>
          <t>Resistance Level</t>
        </is>
      </c>
      <c r="B32" s="7">
        <f>'KPI Dashboard'!C6</f>
        <v/>
      </c>
      <c r="C32" s="7">
        <f>'KPI Dashboard'!D6</f>
        <v/>
      </c>
      <c r="D32" s="7">
        <f>IF(B32="","",IF(B32&gt;=C32,"On Track","At Risk"))</f>
        <v/>
      </c>
    </row>
    <row r="33">
      <c r="A33" s="7" t="inlineStr">
        <is>
          <t>Sponsor Engagement</t>
        </is>
      </c>
      <c r="B33" s="7">
        <f>'KPI Dashboard'!C7</f>
        <v/>
      </c>
      <c r="C33" s="7">
        <f>'KPI Dashboard'!D7</f>
        <v/>
      </c>
      <c r="D33" s="7">
        <f>IF(B33="","",IF(B33&gt;=C33,"On Track","At Risk"))</f>
        <v/>
      </c>
    </row>
    <row r="34">
      <c r="A34" s="7" t="inlineStr">
        <is>
          <t>Sustainment Rate</t>
        </is>
      </c>
      <c r="B34" s="7">
        <f>'KPI Dashboard'!C8</f>
        <v/>
      </c>
      <c r="C34" s="7">
        <f>'KPI Dashboard'!D8</f>
        <v/>
      </c>
      <c r="D34" s="7">
        <f>IF(B34="","",IF(B34&gt;=C34,"On Track","At Risk"))</f>
        <v/>
      </c>
    </row>
    <row r="36">
      <c r="A36" s="3" t="inlineStr">
        <is>
          <t>CRITICAL SUCCESS FACTORS</t>
        </is>
      </c>
    </row>
    <row r="37">
      <c r="A37" s="5" t="inlineStr">
        <is>
          <t>CSF</t>
        </is>
      </c>
      <c r="B37" s="5" t="inlineStr">
        <is>
          <t>Score</t>
        </is>
      </c>
      <c r="C37" s="5" t="inlineStr">
        <is>
          <t>Status</t>
        </is>
      </c>
    </row>
    <row r="38">
      <c r="A38" s="7" t="inlineStr">
        <is>
          <t>Overall CSF Score</t>
        </is>
      </c>
      <c r="B38" s="7">
        <f>IFERROR(AVERAGE('CSF Checklist'!C4:C11),0)</f>
        <v/>
      </c>
      <c r="C38" s="7">
        <f>IF(B38="","",IF(B38&gt;=4,"Strong",IF(B38&gt;=3,"Adequate","Needs Work")))</f>
        <v/>
      </c>
    </row>
    <row r="40">
      <c r="A40" s="3" t="inlineStr">
        <is>
          <t>MATURITY ASSESSMENT</t>
        </is>
      </c>
    </row>
    <row r="41">
      <c r="A41" t="inlineStr">
        <is>
          <t>Overall Maturity Score</t>
        </is>
      </c>
      <c r="B41">
        <f>IFERROR(AVERAGE('Maturity Assessment'!C4:C11),0)</f>
        <v/>
      </c>
    </row>
    <row r="42">
      <c r="A42" t="inlineStr">
        <is>
          <t>Maturity Level</t>
        </is>
      </c>
      <c r="B42">
        <f>IF(B41="","",IF(B41&gt;=4.5,"Optimized",IF(B41&gt;=3.5,"Managed",IF(B41&gt;=2.5,"Defined",IF(B41&gt;=1.5,"Emerging","Ad-hoc")))))</f>
        <v/>
      </c>
    </row>
  </sheetData>
  <mergeCells count="2">
    <mergeCell ref="A1:F1"/>
    <mergeCell ref="H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xSplit="8" topLeftCell="I1" activePane="topRight" state="frozen"/>
      <selection pane="topRight" activeCell="A1" sqref="A1"/>
    </sheetView>
  </sheetViews>
  <sheetFormatPr baseColWidth="8" defaultRowHeight="15"/>
  <cols>
    <col width="35" customWidth="1" min="1" max="1"/>
    <col width="12" customWidth="1" min="2" max="2"/>
    <col width="20" customWidth="1" min="3" max="3"/>
    <col width="12" customWidth="1" min="4" max="4"/>
    <col width="12" customWidth="1" min="5" max="5"/>
    <col width="12" customWidth="1" min="6" max="6"/>
    <col width="30" customWidth="1" min="7" max="7"/>
    <col width="45" customWidth="1" min="9" max="9"/>
  </cols>
  <sheetData>
    <row r="1">
      <c r="I1" s="2" t="inlineStr">
        <is>
          <t>INSTRUCTIONS</t>
        </is>
      </c>
    </row>
    <row r="2">
      <c r="A2" s="5" t="inlineStr">
        <is>
          <t>Activity</t>
        </is>
      </c>
      <c r="B2" s="5" t="inlineStr">
        <is>
          <t>Phase</t>
        </is>
      </c>
      <c r="C2" s="5" t="inlineStr">
        <is>
          <t>Owner</t>
        </is>
      </c>
      <c r="D2" s="5" t="inlineStr">
        <is>
          <t>Status</t>
        </is>
      </c>
      <c r="E2" s="5" t="inlineStr">
        <is>
          <t>Start Date</t>
        </is>
      </c>
      <c r="F2" s="5" t="inlineStr">
        <is>
          <t>End Date</t>
        </is>
      </c>
      <c r="G2" s="5" t="inlineStr">
        <is>
          <t>Notes</t>
        </is>
      </c>
    </row>
    <row r="3">
      <c r="A3" s="9" t="inlineStr">
        <is>
          <t>Secure executive sponsorship</t>
        </is>
      </c>
      <c r="B3" s="9" t="inlineStr">
        <is>
          <t>Foundation</t>
        </is>
      </c>
      <c r="C3" s="9" t="inlineStr"/>
      <c r="D3" s="9" t="inlineStr">
        <is>
          <t>Not Started</t>
        </is>
      </c>
      <c r="E3" s="9" t="inlineStr"/>
      <c r="F3" s="9" t="inlineStr"/>
      <c r="G3" s="9" t="inlineStr"/>
      <c r="I3" s="4" t="inlineStr">
        <is>
          <t>PURPOSE</t>
        </is>
      </c>
    </row>
    <row r="4">
      <c r="A4" s="9" t="inlineStr">
        <is>
          <t>Assess current OCM maturity</t>
        </is>
      </c>
      <c r="B4" s="9" t="inlineStr">
        <is>
          <t>Foundation</t>
        </is>
      </c>
      <c r="C4" s="9" t="inlineStr"/>
      <c r="D4" s="9" t="inlineStr">
        <is>
          <t>Not Started</t>
        </is>
      </c>
      <c r="E4" s="9" t="inlineStr"/>
      <c r="F4" s="9" t="inlineStr"/>
      <c r="G4" s="9" t="inlineStr"/>
      <c r="I4" s="6" t="inlineStr">
        <is>
          <t>Track implementation activities</t>
        </is>
      </c>
    </row>
    <row r="5">
      <c r="A5" s="9" t="inlineStr">
        <is>
          <t>Define OCM vision and objectives</t>
        </is>
      </c>
      <c r="B5" s="9" t="inlineStr">
        <is>
          <t>Foundation</t>
        </is>
      </c>
      <c r="C5" s="9" t="inlineStr"/>
      <c r="D5" s="9" t="inlineStr">
        <is>
          <t>Not Started</t>
        </is>
      </c>
      <c r="E5" s="9" t="inlineStr"/>
      <c r="F5" s="9" t="inlineStr"/>
      <c r="G5" s="9" t="inlineStr"/>
      <c r="I5" s="6" t="inlineStr">
        <is>
          <t>across 4 OCM capability phases.</t>
        </is>
      </c>
    </row>
    <row r="6">
      <c r="A6" s="9" t="inlineStr">
        <is>
          <t>Select OCM methodology</t>
        </is>
      </c>
      <c r="B6" s="9" t="inlineStr">
        <is>
          <t>Foundation</t>
        </is>
      </c>
      <c r="C6" s="9" t="inlineStr"/>
      <c r="D6" s="9" t="inlineStr">
        <is>
          <t>Not Started</t>
        </is>
      </c>
      <c r="E6" s="9" t="inlineStr"/>
      <c r="F6" s="9" t="inlineStr"/>
      <c r="G6" s="9" t="inlineStr"/>
    </row>
    <row r="7">
      <c r="A7" s="9" t="inlineStr">
        <is>
          <t>Identify pilot projects</t>
        </is>
      </c>
      <c r="B7" s="9" t="inlineStr">
        <is>
          <t>Foundation</t>
        </is>
      </c>
      <c r="C7" s="9" t="inlineStr"/>
      <c r="D7" s="9" t="inlineStr">
        <is>
          <t>Not Started</t>
        </is>
      </c>
      <c r="E7" s="9" t="inlineStr"/>
      <c r="F7" s="9" t="inlineStr"/>
      <c r="G7" s="9" t="inlineStr"/>
      <c r="I7" s="4" t="inlineStr">
        <is>
          <t>PHASES</t>
        </is>
      </c>
    </row>
    <row r="8">
      <c r="A8" s="9" t="inlineStr">
        <is>
          <t>Build business case</t>
        </is>
      </c>
      <c r="B8" s="9" t="inlineStr">
        <is>
          <t>Foundation</t>
        </is>
      </c>
      <c r="C8" s="9" t="inlineStr"/>
      <c r="D8" s="9" t="inlineStr">
        <is>
          <t>Not Started</t>
        </is>
      </c>
      <c r="E8" s="9" t="inlineStr"/>
      <c r="F8" s="9" t="inlineStr"/>
      <c r="G8" s="9" t="inlineStr"/>
      <c r="I8" s="6" t="inlineStr">
        <is>
          <t>Foundation (Months 1-3)</t>
        </is>
      </c>
    </row>
    <row r="9">
      <c r="A9" s="9" t="inlineStr">
        <is>
          <t>Apply methodology to pilots</t>
        </is>
      </c>
      <c r="B9" s="9" t="inlineStr">
        <is>
          <t>Pilot</t>
        </is>
      </c>
      <c r="C9" s="9" t="inlineStr"/>
      <c r="D9" s="9" t="inlineStr">
        <is>
          <t>Not Started</t>
        </is>
      </c>
      <c r="E9" s="9" t="inlineStr"/>
      <c r="F9" s="9" t="inlineStr"/>
      <c r="G9" s="9" t="inlineStr"/>
      <c r="I9" s="6" t="inlineStr">
        <is>
          <t>Pilot (Months 3-9)</t>
        </is>
      </c>
    </row>
    <row r="10">
      <c r="A10" s="9" t="inlineStr">
        <is>
          <t>Train pilot OCM leads</t>
        </is>
      </c>
      <c r="B10" s="9" t="inlineStr">
        <is>
          <t>Pilot</t>
        </is>
      </c>
      <c r="C10" s="9" t="inlineStr"/>
      <c r="D10" s="9" t="inlineStr">
        <is>
          <t>Not Started</t>
        </is>
      </c>
      <c r="E10" s="9" t="inlineStr"/>
      <c r="F10" s="9" t="inlineStr"/>
      <c r="G10" s="9" t="inlineStr"/>
      <c r="I10" s="6" t="inlineStr">
        <is>
          <t>Expansion (Months 9-18)</t>
        </is>
      </c>
    </row>
    <row r="11">
      <c r="A11" s="9" t="inlineStr">
        <is>
          <t>Execute pilot change activities</t>
        </is>
      </c>
      <c r="B11" s="9" t="inlineStr">
        <is>
          <t>Pilot</t>
        </is>
      </c>
      <c r="C11" s="9" t="inlineStr"/>
      <c r="D11" s="9" t="inlineStr">
        <is>
          <t>Not Started</t>
        </is>
      </c>
      <c r="E11" s="9" t="inlineStr"/>
      <c r="F11" s="9" t="inlineStr"/>
      <c r="G11" s="9" t="inlineStr"/>
      <c r="I11" s="6" t="inlineStr">
        <is>
          <t>Optimization (Months 18+)</t>
        </is>
      </c>
    </row>
    <row r="12">
      <c r="A12" s="9" t="inlineStr">
        <is>
          <t>Capture lessons learned</t>
        </is>
      </c>
      <c r="B12" s="9" t="inlineStr">
        <is>
          <t>Pilot</t>
        </is>
      </c>
      <c r="C12" s="9" t="inlineStr"/>
      <c r="D12" s="9" t="inlineStr">
        <is>
          <t>Not Started</t>
        </is>
      </c>
      <c r="E12" s="9" t="inlineStr"/>
      <c r="F12" s="9" t="inlineStr"/>
      <c r="G12" s="9" t="inlineStr"/>
    </row>
    <row r="13">
      <c r="A13" s="9" t="inlineStr">
        <is>
          <t>Demonstrate pilot value</t>
        </is>
      </c>
      <c r="B13" s="9" t="inlineStr">
        <is>
          <t>Pilot</t>
        </is>
      </c>
      <c r="C13" s="9" t="inlineStr"/>
      <c r="D13" s="9" t="inlineStr">
        <is>
          <t>Not Started</t>
        </is>
      </c>
      <c r="E13" s="9" t="inlineStr"/>
      <c r="F13" s="9" t="inlineStr"/>
      <c r="G13" s="9" t="inlineStr"/>
      <c r="I13" s="4" t="inlineStr">
        <is>
          <t>HOW TO USE</t>
        </is>
      </c>
    </row>
    <row r="14">
      <c r="A14" s="9" t="inlineStr">
        <is>
          <t>Refine methodology</t>
        </is>
      </c>
      <c r="B14" s="9" t="inlineStr">
        <is>
          <t>Pilot</t>
        </is>
      </c>
      <c r="C14" s="9" t="inlineStr"/>
      <c r="D14" s="9" t="inlineStr">
        <is>
          <t>Not Started</t>
        </is>
      </c>
      <c r="E14" s="9" t="inlineStr"/>
      <c r="F14" s="9" t="inlineStr"/>
      <c r="G14" s="9" t="inlineStr"/>
      <c r="I14" s="6" t="inlineStr">
        <is>
          <t>1. Assign owners to activities</t>
        </is>
      </c>
    </row>
    <row r="15">
      <c r="A15" s="9" t="inlineStr">
        <is>
          <t>Expand OCM coverage</t>
        </is>
      </c>
      <c r="B15" s="9" t="inlineStr">
        <is>
          <t>Expansion</t>
        </is>
      </c>
      <c r="C15" s="9" t="inlineStr"/>
      <c r="D15" s="9" t="inlineStr">
        <is>
          <t>Not Started</t>
        </is>
      </c>
      <c r="E15" s="9" t="inlineStr"/>
      <c r="F15" s="9" t="inlineStr"/>
      <c r="G15" s="9" t="inlineStr"/>
      <c r="I15" s="6" t="inlineStr">
        <is>
          <t>2. Update status as work progresses</t>
        </is>
      </c>
    </row>
    <row r="16">
      <c r="A16" s="9" t="inlineStr">
        <is>
          <t>Formalize policies and standards</t>
        </is>
      </c>
      <c r="B16" s="9" t="inlineStr">
        <is>
          <t>Expansion</t>
        </is>
      </c>
      <c r="C16" s="9" t="inlineStr"/>
      <c r="D16" s="9" t="inlineStr">
        <is>
          <t>Not Started</t>
        </is>
      </c>
      <c r="E16" s="9" t="inlineStr"/>
      <c r="F16" s="9" t="inlineStr"/>
      <c r="G16" s="9" t="inlineStr"/>
      <c r="I16" s="6" t="inlineStr">
        <is>
          <t>3. Add start/end dates</t>
        </is>
      </c>
    </row>
    <row r="17">
      <c r="A17" s="9" t="inlineStr">
        <is>
          <t>Integrate with project management</t>
        </is>
      </c>
      <c r="B17" s="9" t="inlineStr">
        <is>
          <t>Expansion</t>
        </is>
      </c>
      <c r="C17" s="9" t="inlineStr"/>
      <c r="D17" s="9" t="inlineStr">
        <is>
          <t>Not Started</t>
        </is>
      </c>
      <c r="E17" s="9" t="inlineStr"/>
      <c r="F17" s="9" t="inlineStr"/>
      <c r="G17" s="9" t="inlineStr"/>
      <c r="I17" s="6" t="inlineStr">
        <is>
          <t>4. Add new activities as needed</t>
        </is>
      </c>
    </row>
    <row r="18">
      <c r="A18" s="9" t="inlineStr">
        <is>
          <t>Build change agent network</t>
        </is>
      </c>
      <c r="B18" s="9" t="inlineStr">
        <is>
          <t>Expansion</t>
        </is>
      </c>
      <c r="C18" s="9" t="inlineStr"/>
      <c r="D18" s="9" t="inlineStr">
        <is>
          <t>Not Started</t>
        </is>
      </c>
      <c r="E18" s="9" t="inlineStr"/>
      <c r="F18" s="9" t="inlineStr"/>
      <c r="G18" s="9" t="inlineStr"/>
    </row>
    <row r="19">
      <c r="A19" s="9" t="inlineStr">
        <is>
          <t>Develop manager orientation</t>
        </is>
      </c>
      <c r="B19" s="9" t="inlineStr">
        <is>
          <t>Expansion</t>
        </is>
      </c>
      <c r="C19" s="9" t="inlineStr"/>
      <c r="D19" s="9" t="inlineStr">
        <is>
          <t>Not Started</t>
        </is>
      </c>
      <c r="E19" s="9" t="inlineStr"/>
      <c r="F19" s="9" t="inlineStr"/>
      <c r="G19" s="9" t="inlineStr"/>
      <c r="I19" s="4" t="inlineStr">
        <is>
          <t>STATUS VALUES</t>
        </is>
      </c>
    </row>
    <row r="20">
      <c r="A20" s="9" t="inlineStr">
        <is>
          <t>Establish governance</t>
        </is>
      </c>
      <c r="B20" s="9" t="inlineStr">
        <is>
          <t>Expansion</t>
        </is>
      </c>
      <c r="C20" s="9" t="inlineStr"/>
      <c r="D20" s="9" t="inlineStr">
        <is>
          <t>Not Started</t>
        </is>
      </c>
      <c r="E20" s="9" t="inlineStr"/>
      <c r="F20" s="9" t="inlineStr"/>
      <c r="G20" s="9" t="inlineStr"/>
      <c r="I20" s="6" t="inlineStr">
        <is>
          <t>Not Started - Planned</t>
        </is>
      </c>
    </row>
    <row r="21">
      <c r="A21" s="9" t="inlineStr">
        <is>
          <t>Implement data-driven improvement</t>
        </is>
      </c>
      <c r="B21" s="9" t="inlineStr">
        <is>
          <t>Optimization</t>
        </is>
      </c>
      <c r="C21" s="9" t="inlineStr"/>
      <c r="D21" s="9" t="inlineStr">
        <is>
          <t>Not Started</t>
        </is>
      </c>
      <c r="E21" s="9" t="inlineStr"/>
      <c r="F21" s="9" t="inlineStr"/>
      <c r="G21" s="9" t="inlineStr"/>
      <c r="I21" s="6" t="inlineStr">
        <is>
          <t>In Progress - Underway</t>
        </is>
      </c>
    </row>
    <row r="22">
      <c r="A22" s="9" t="inlineStr">
        <is>
          <t>Build change-ready culture</t>
        </is>
      </c>
      <c r="B22" s="9" t="inlineStr">
        <is>
          <t>Optimization</t>
        </is>
      </c>
      <c r="C22" s="9" t="inlineStr"/>
      <c r="D22" s="9" t="inlineStr">
        <is>
          <t>Not Started</t>
        </is>
      </c>
      <c r="E22" s="9" t="inlineStr"/>
      <c r="F22" s="9" t="inlineStr"/>
      <c r="G22" s="9" t="inlineStr"/>
      <c r="I22" s="6" t="inlineStr">
        <is>
          <t>Complete - Done</t>
        </is>
      </c>
    </row>
    <row r="23">
      <c r="A23" s="9" t="inlineStr">
        <is>
          <t>Integrate with leadership development</t>
        </is>
      </c>
      <c r="B23" s="9" t="inlineStr">
        <is>
          <t>Optimization</t>
        </is>
      </c>
      <c r="C23" s="9" t="inlineStr"/>
      <c r="D23" s="9" t="inlineStr">
        <is>
          <t>Not Started</t>
        </is>
      </c>
      <c r="E23" s="9" t="inlineStr"/>
      <c r="F23" s="9" t="inlineStr"/>
      <c r="G23" s="9" t="inlineStr"/>
      <c r="I23" s="6" t="inlineStr">
        <is>
          <t>On Hold - Paused</t>
        </is>
      </c>
    </row>
    <row r="24">
      <c r="A24" s="9" t="inlineStr">
        <is>
          <t>Establish continuous improvement</t>
        </is>
      </c>
      <c r="B24" s="9" t="inlineStr">
        <is>
          <t>Optimization</t>
        </is>
      </c>
      <c r="C24" s="9" t="inlineStr"/>
      <c r="D24" s="9" t="inlineStr">
        <is>
          <t>Not Started</t>
        </is>
      </c>
      <c r="E24" s="9" t="inlineStr"/>
      <c r="F24" s="9" t="inlineStr"/>
      <c r="G24" s="9" t="inlineStr"/>
    </row>
    <row r="25">
      <c r="A25" s="9" t="inlineStr">
        <is>
          <t>Plan practitioner succession</t>
        </is>
      </c>
      <c r="B25" s="9" t="inlineStr">
        <is>
          <t>Optimization</t>
        </is>
      </c>
      <c r="C25" s="9" t="inlineStr"/>
      <c r="D25" s="9" t="inlineStr">
        <is>
          <t>Not Started</t>
        </is>
      </c>
      <c r="E25" s="9" t="inlineStr"/>
      <c r="F25" s="9" t="inlineStr"/>
      <c r="G25" s="9" t="inlineStr"/>
    </row>
    <row r="26">
      <c r="A26" s="9" t="inlineStr">
        <is>
          <t>Benchmark against industry</t>
        </is>
      </c>
      <c r="B26" s="9" t="inlineStr">
        <is>
          <t>Optimization</t>
        </is>
      </c>
      <c r="C26" s="9" t="inlineStr"/>
      <c r="D26" s="9" t="inlineStr">
        <is>
          <t>Not Started</t>
        </is>
      </c>
      <c r="E26" s="9" t="inlineStr"/>
      <c r="F26" s="9" t="inlineStr"/>
      <c r="G26" s="9" t="inlineStr"/>
    </row>
    <row r="27">
      <c r="A27" s="9" t="inlineStr">
        <is>
          <t>Contribute to OCM body of knowledge</t>
        </is>
      </c>
      <c r="B27" s="9" t="inlineStr">
        <is>
          <t>Optimization</t>
        </is>
      </c>
      <c r="C27" s="9" t="inlineStr"/>
      <c r="D27" s="9" t="inlineStr">
        <is>
          <t>Not Started</t>
        </is>
      </c>
      <c r="E27" s="9" t="inlineStr"/>
      <c r="F27" s="9" t="inlineStr"/>
      <c r="G27" s="9" t="inlineStr"/>
    </row>
    <row r="28">
      <c r="A28" s="9" t="n"/>
      <c r="B28" s="9" t="n"/>
      <c r="C28" s="9" t="n"/>
      <c r="D28" s="9" t="n"/>
      <c r="E28" s="9" t="n"/>
      <c r="F28" s="9" t="n"/>
      <c r="G28" s="9" t="n"/>
    </row>
    <row r="29">
      <c r="A29" s="9" t="n"/>
      <c r="B29" s="9" t="n"/>
      <c r="C29" s="9" t="n"/>
      <c r="D29" s="9" t="n"/>
      <c r="E29" s="9" t="n"/>
      <c r="F29" s="9" t="n"/>
      <c r="G29" s="9" t="n"/>
    </row>
    <row r="30">
      <c r="A30" s="9" t="n"/>
      <c r="B30" s="9" t="n"/>
      <c r="C30" s="9" t="n"/>
      <c r="D30" s="9" t="n"/>
      <c r="E30" s="9" t="n"/>
      <c r="F30" s="9" t="n"/>
      <c r="G30" s="9" t="n"/>
    </row>
    <row r="31">
      <c r="A31" s="9" t="n"/>
      <c r="B31" s="9" t="n"/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>
      <c r="A34" s="9" t="n"/>
      <c r="B34" s="9" t="n"/>
      <c r="C34" s="9" t="n"/>
      <c r="D34" s="9" t="n"/>
      <c r="E34" s="9" t="n"/>
      <c r="F34" s="9" t="n"/>
      <c r="G34" s="9" t="n"/>
    </row>
    <row r="35">
      <c r="A35" s="9" t="n"/>
      <c r="B35" s="9" t="n"/>
      <c r="C35" s="9" t="n"/>
      <c r="D35" s="9" t="n"/>
      <c r="E35" s="9" t="n"/>
      <c r="F35" s="9" t="n"/>
      <c r="G35" s="9" t="n"/>
    </row>
    <row r="36">
      <c r="A36" s="9" t="n"/>
      <c r="B36" s="9" t="n"/>
      <c r="C36" s="9" t="n"/>
      <c r="D36" s="9" t="n"/>
      <c r="E36" s="9" t="n"/>
      <c r="F36" s="9" t="n"/>
      <c r="G36" s="9" t="n"/>
    </row>
    <row r="37">
      <c r="A37" s="9" t="n"/>
      <c r="B37" s="9" t="n"/>
      <c r="C37" s="9" t="n"/>
      <c r="D37" s="9" t="n"/>
      <c r="E37" s="9" t="n"/>
      <c r="F37" s="9" t="n"/>
      <c r="G37" s="9" t="n"/>
    </row>
    <row r="38">
      <c r="A38" s="9" t="n"/>
      <c r="B38" s="9" t="n"/>
      <c r="C38" s="9" t="n"/>
      <c r="D38" s="9" t="n"/>
      <c r="E38" s="9" t="n"/>
      <c r="F38" s="9" t="n"/>
      <c r="G38" s="9" t="n"/>
    </row>
    <row r="39">
      <c r="A39" s="9" t="n"/>
      <c r="B39" s="9" t="n"/>
      <c r="C39" s="9" t="n"/>
      <c r="D39" s="9" t="n"/>
      <c r="E39" s="9" t="n"/>
      <c r="F39" s="9" t="n"/>
      <c r="G39" s="9" t="n"/>
    </row>
    <row r="40">
      <c r="A40" s="9" t="n"/>
      <c r="B40" s="9" t="n"/>
      <c r="C40" s="9" t="n"/>
      <c r="D40" s="9" t="n"/>
      <c r="E40" s="9" t="n"/>
      <c r="F40" s="9" t="n"/>
      <c r="G40" s="9" t="n"/>
    </row>
    <row r="41">
      <c r="A41" s="9" t="n"/>
      <c r="B41" s="9" t="n"/>
      <c r="C41" s="9" t="n"/>
      <c r="D41" s="9" t="n"/>
      <c r="E41" s="9" t="n"/>
      <c r="F41" s="9" t="n"/>
      <c r="G41" s="9" t="n"/>
    </row>
    <row r="42">
      <c r="A42" s="9" t="n"/>
      <c r="B42" s="9" t="n"/>
      <c r="C42" s="9" t="n"/>
      <c r="D42" s="9" t="n"/>
      <c r="E42" s="9" t="n"/>
      <c r="F42" s="9" t="n"/>
      <c r="G42" s="9" t="n"/>
    </row>
    <row r="43">
      <c r="A43" s="9" t="n"/>
      <c r="B43" s="9" t="n"/>
      <c r="C43" s="9" t="n"/>
      <c r="D43" s="9" t="n"/>
      <c r="E43" s="9" t="n"/>
      <c r="F43" s="9" t="n"/>
      <c r="G43" s="9" t="n"/>
    </row>
    <row r="44">
      <c r="A44" s="9" t="n"/>
      <c r="B44" s="9" t="n"/>
      <c r="C44" s="9" t="n"/>
      <c r="D44" s="9" t="n"/>
      <c r="E44" s="9" t="n"/>
      <c r="F44" s="9" t="n"/>
      <c r="G44" s="9" t="n"/>
    </row>
    <row r="45">
      <c r="A45" s="9" t="n"/>
      <c r="B45" s="9" t="n"/>
      <c r="C45" s="9" t="n"/>
      <c r="D45" s="9" t="n"/>
      <c r="E45" s="9" t="n"/>
      <c r="F45" s="9" t="n"/>
      <c r="G45" s="9" t="n"/>
    </row>
    <row r="46">
      <c r="A46" s="9" t="n"/>
      <c r="B46" s="9" t="n"/>
      <c r="C46" s="9" t="n"/>
      <c r="D46" s="9" t="n"/>
      <c r="E46" s="9" t="n"/>
      <c r="F46" s="9" t="n"/>
      <c r="G46" s="9" t="n"/>
    </row>
    <row r="47">
      <c r="A47" s="9" t="n"/>
      <c r="B47" s="9" t="n"/>
      <c r="C47" s="9" t="n"/>
      <c r="D47" s="9" t="n"/>
      <c r="E47" s="9" t="n"/>
      <c r="F47" s="9" t="n"/>
      <c r="G47" s="9" t="n"/>
    </row>
    <row r="48">
      <c r="A48" s="9" t="n"/>
      <c r="B48" s="9" t="n"/>
      <c r="C48" s="9" t="n"/>
      <c r="D48" s="9" t="n"/>
      <c r="E48" s="9" t="n"/>
      <c r="F48" s="9" t="n"/>
      <c r="G48" s="9" t="n"/>
    </row>
    <row r="49">
      <c r="A49" s="9" t="n"/>
      <c r="B49" s="9" t="n"/>
      <c r="C49" s="9" t="n"/>
      <c r="D49" s="9" t="n"/>
      <c r="E49" s="9" t="n"/>
      <c r="F49" s="9" t="n"/>
      <c r="G49" s="9" t="n"/>
    </row>
    <row r="50">
      <c r="A50" s="9" t="n"/>
      <c r="B50" s="9" t="n"/>
      <c r="C50" s="9" t="n"/>
      <c r="D50" s="9" t="n"/>
      <c r="E50" s="9" t="n"/>
      <c r="F50" s="9" t="n"/>
      <c r="G50" s="9" t="n"/>
    </row>
    <row r="51">
      <c r="A51" s="9" t="n"/>
      <c r="B51" s="9" t="n"/>
      <c r="C51" s="9" t="n"/>
      <c r="D51" s="9" t="n"/>
      <c r="E51" s="9" t="n"/>
      <c r="F51" s="9" t="n"/>
      <c r="G51" s="9" t="n"/>
    </row>
    <row r="52">
      <c r="A52" s="9" t="n"/>
      <c r="B52" s="9" t="n"/>
      <c r="C52" s="9" t="n"/>
      <c r="D52" s="9" t="n"/>
      <c r="E52" s="9" t="n"/>
      <c r="F52" s="9" t="n"/>
      <c r="G52" s="9" t="n"/>
    </row>
  </sheetData>
  <mergeCells count="1">
    <mergeCell ref="I1:J1"/>
  </mergeCells>
  <dataValidations count="2">
    <dataValidation sqref="B3:B52" showDropDown="0" showInputMessage="0" showErrorMessage="0" allowBlank="1" type="list">
      <formula1>"Foundation,Pilot,Expansion,Optimization"</formula1>
    </dataValidation>
    <dataValidation sqref="D3:D52" showDropDown="0" showInputMessage="0" showErrorMessage="0" allowBlank="1" type="list">
      <formula1>"Not Started,In Progress,Complete,On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9" topLeftCell="J1" activePane="topRight" state="frozen"/>
      <selection pane="topRigh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5" customWidth="1" min="8" max="8"/>
    <col width="45" customWidth="1" min="10" max="10"/>
  </cols>
  <sheetData>
    <row r="1">
      <c r="J1" s="2" t="inlineStr">
        <is>
          <t>INSTRUCTIONS</t>
        </is>
      </c>
    </row>
    <row r="2">
      <c r="A2" s="5" t="inlineStr">
        <is>
          <t>Stakeholder/Group</t>
        </is>
      </c>
      <c r="B2" s="5" t="inlineStr">
        <is>
          <t>Awareness</t>
        </is>
      </c>
      <c r="C2" s="5" t="inlineStr">
        <is>
          <t>Desire</t>
        </is>
      </c>
      <c r="D2" s="5" t="inlineStr">
        <is>
          <t>Knowledge</t>
        </is>
      </c>
      <c r="E2" s="5" t="inlineStr">
        <is>
          <t>Ability</t>
        </is>
      </c>
      <c r="F2" s="5" t="inlineStr">
        <is>
          <t>Reinforcement</t>
        </is>
      </c>
      <c r="G2" s="5" t="inlineStr">
        <is>
          <t>Avg Score</t>
        </is>
      </c>
      <c r="H2" s="5" t="inlineStr">
        <is>
          <t>Barrier Point</t>
        </is>
      </c>
    </row>
    <row r="3">
      <c r="A3" s="9" t="inlineStr">
        <is>
          <t>Executive Team</t>
        </is>
      </c>
      <c r="B3" s="7" t="n"/>
      <c r="C3" s="7" t="n"/>
      <c r="D3" s="7" t="n"/>
      <c r="E3" s="7" t="n"/>
      <c r="F3" s="7" t="n"/>
      <c r="G3" s="7">
        <f>IF(COUNTA(B3:F3)=0,"",AVERAGE(B3:F3))</f>
        <v/>
      </c>
      <c r="H3" s="7">
        <f>IF(COUNTA(B3:F3)=0,"",INDEX($B$2:$F$2,MATCH(MIN(B3:F3),B3:F3,0)))</f>
        <v/>
      </c>
      <c r="J3" s="4" t="inlineStr">
        <is>
          <t>PURPOSE</t>
        </is>
      </c>
    </row>
    <row r="4">
      <c r="A4" s="9" t="inlineStr">
        <is>
          <t>IT Department</t>
        </is>
      </c>
      <c r="B4" s="7" t="n"/>
      <c r="C4" s="7" t="n"/>
      <c r="D4" s="7" t="n"/>
      <c r="E4" s="7" t="n"/>
      <c r="F4" s="7" t="n"/>
      <c r="G4" s="7">
        <f>IF(COUNTA(B4:F4)=0,"",AVERAGE(B4:F4))</f>
        <v/>
      </c>
      <c r="H4" s="7">
        <f>IF(COUNTA(B4:F4)=0,"",INDEX($B$2:$F$2,MATCH(MIN(B4:F4),B4:F4,0)))</f>
        <v/>
      </c>
      <c r="J4" s="6" t="inlineStr">
        <is>
          <t>Assess stakeholder readiness</t>
        </is>
      </c>
    </row>
    <row r="5">
      <c r="A5" s="9" t="inlineStr">
        <is>
          <t>HR Team</t>
        </is>
      </c>
      <c r="B5" s="7" t="n"/>
      <c r="C5" s="7" t="n"/>
      <c r="D5" s="7" t="n"/>
      <c r="E5" s="7" t="n"/>
      <c r="F5" s="7" t="n"/>
      <c r="G5" s="7">
        <f>IF(COUNTA(B5:F5)=0,"",AVERAGE(B5:F5))</f>
        <v/>
      </c>
      <c r="H5" s="7">
        <f>IF(COUNTA(B5:F5)=0,"",INDEX($B$2:$F$2,MATCH(MIN(B5:F5),B5:F5,0)))</f>
        <v/>
      </c>
      <c r="J5" s="6" t="inlineStr">
        <is>
          <t>using the ADKAR model.</t>
        </is>
      </c>
    </row>
    <row r="6">
      <c r="A6" s="9" t="inlineStr">
        <is>
          <t>End Users - Dept A</t>
        </is>
      </c>
      <c r="B6" s="7" t="n"/>
      <c r="C6" s="7" t="n"/>
      <c r="D6" s="7" t="n"/>
      <c r="E6" s="7" t="n"/>
      <c r="F6" s="7" t="n"/>
      <c r="G6" s="7">
        <f>IF(COUNTA(B6:F6)=0,"",AVERAGE(B6:F6))</f>
        <v/>
      </c>
      <c r="H6" s="7">
        <f>IF(COUNTA(B6:F6)=0,"",INDEX($B$2:$F$2,MATCH(MIN(B6:F6),B6:F6,0)))</f>
        <v/>
      </c>
    </row>
    <row r="7">
      <c r="A7" s="9" t="inlineStr">
        <is>
          <t>End Users - Dept B</t>
        </is>
      </c>
      <c r="B7" s="7" t="n"/>
      <c r="C7" s="7" t="n"/>
      <c r="D7" s="7" t="n"/>
      <c r="E7" s="7" t="n"/>
      <c r="F7" s="7" t="n"/>
      <c r="G7" s="7">
        <f>IF(COUNTA(B7:F7)=0,"",AVERAGE(B7:F7))</f>
        <v/>
      </c>
      <c r="H7" s="7">
        <f>IF(COUNTA(B7:F7)=0,"",INDEX($B$2:$F$2,MATCH(MIN(B7:F7),B7:F7,0)))</f>
        <v/>
      </c>
      <c r="J7" s="4" t="inlineStr">
        <is>
          <t>ADKAR ELEMENTS</t>
        </is>
      </c>
    </row>
    <row r="8">
      <c r="A8" s="9" t="n"/>
      <c r="B8" s="9" t="n"/>
      <c r="C8" s="9" t="n"/>
      <c r="D8" s="9" t="n"/>
      <c r="E8" s="9" t="n"/>
      <c r="F8" s="9" t="n"/>
      <c r="G8" s="9">
        <f>IF(COUNTA(B8:F8)=0,"",AVERAGE(B8:F8))</f>
        <v/>
      </c>
      <c r="H8" s="9">
        <f>IF(COUNTA(B8:F8)=0,"",INDEX($B$2:$F$2,MATCH(MIN(B8:F8),B8:F8,0)))</f>
        <v/>
      </c>
      <c r="J8" s="6" t="inlineStr">
        <is>
          <t>A - Awareness of need</t>
        </is>
      </c>
    </row>
    <row r="9">
      <c r="A9" s="9" t="n"/>
      <c r="B9" s="9" t="n"/>
      <c r="C9" s="9" t="n"/>
      <c r="D9" s="9" t="n"/>
      <c r="E9" s="9" t="n"/>
      <c r="F9" s="9" t="n"/>
      <c r="G9" s="9">
        <f>IF(COUNTA(B9:F9)=0,"",AVERAGE(B9:F9))</f>
        <v/>
      </c>
      <c r="H9" s="9">
        <f>IF(COUNTA(B9:F9)=0,"",INDEX($B$2:$F$2,MATCH(MIN(B9:F9),B9:F9,0)))</f>
        <v/>
      </c>
      <c r="J9" s="6" t="inlineStr">
        <is>
          <t>D - Desire to participate</t>
        </is>
      </c>
    </row>
    <row r="10">
      <c r="A10" s="9" t="n"/>
      <c r="B10" s="9" t="n"/>
      <c r="C10" s="9" t="n"/>
      <c r="D10" s="9" t="n"/>
      <c r="E10" s="9" t="n"/>
      <c r="F10" s="9" t="n"/>
      <c r="G10" s="9">
        <f>IF(COUNTA(B10:F10)=0,"",AVERAGE(B10:F10))</f>
        <v/>
      </c>
      <c r="H10" s="9">
        <f>IF(COUNTA(B10:F10)=0,"",INDEX($B$2:$F$2,MATCH(MIN(B10:F10),B10:F10,0)))</f>
        <v/>
      </c>
      <c r="J10" s="6" t="inlineStr">
        <is>
          <t>K - Knowledge of how</t>
        </is>
      </c>
    </row>
    <row r="11">
      <c r="A11" s="9" t="n"/>
      <c r="B11" s="9" t="n"/>
      <c r="C11" s="9" t="n"/>
      <c r="D11" s="9" t="n"/>
      <c r="E11" s="9" t="n"/>
      <c r="F11" s="9" t="n"/>
      <c r="G11" s="9">
        <f>IF(COUNTA(B11:F11)=0,"",AVERAGE(B11:F11))</f>
        <v/>
      </c>
      <c r="H11" s="9">
        <f>IF(COUNTA(B11:F11)=0,"",INDEX($B$2:$F$2,MATCH(MIN(B11:F11),B11:F11,0)))</f>
        <v/>
      </c>
      <c r="J11" s="6" t="inlineStr">
        <is>
          <t>A - Ability to implement</t>
        </is>
      </c>
    </row>
    <row r="12">
      <c r="A12" s="9" t="n"/>
      <c r="B12" s="9" t="n"/>
      <c r="C12" s="9" t="n"/>
      <c r="D12" s="9" t="n"/>
      <c r="E12" s="9" t="n"/>
      <c r="F12" s="9" t="n"/>
      <c r="G12" s="9">
        <f>IF(COUNTA(B12:F12)=0,"",AVERAGE(B12:F12))</f>
        <v/>
      </c>
      <c r="H12" s="9">
        <f>IF(COUNTA(B12:F12)=0,"",INDEX($B$2:$F$2,MATCH(MIN(B12:F12),B12:F12,0)))</f>
        <v/>
      </c>
      <c r="J12" s="6" t="inlineStr">
        <is>
          <t>R - Reinforcement to sustain</t>
        </is>
      </c>
    </row>
    <row r="13">
      <c r="A13" s="9" t="n"/>
      <c r="B13" s="9" t="n"/>
      <c r="C13" s="9" t="n"/>
      <c r="D13" s="9" t="n"/>
      <c r="E13" s="9" t="n"/>
      <c r="F13" s="9" t="n"/>
      <c r="G13" s="9">
        <f>IF(COUNTA(B13:F13)=0,"",AVERAGE(B13:F13))</f>
        <v/>
      </c>
      <c r="H13" s="9">
        <f>IF(COUNTA(B13:F13)=0,"",INDEX($B$2:$F$2,MATCH(MIN(B13:F13),B13:F13,0)))</f>
        <v/>
      </c>
    </row>
    <row r="14">
      <c r="A14" s="9" t="n"/>
      <c r="B14" s="9" t="n"/>
      <c r="C14" s="9" t="n"/>
      <c r="D14" s="9" t="n"/>
      <c r="E14" s="9" t="n"/>
      <c r="F14" s="9" t="n"/>
      <c r="G14" s="9">
        <f>IF(COUNTA(B14:F14)=0,"",AVERAGE(B14:F14))</f>
        <v/>
      </c>
      <c r="H14" s="9">
        <f>IF(COUNTA(B14:F14)=0,"",INDEX($B$2:$F$2,MATCH(MIN(B14:F14),B14:F14,0)))</f>
        <v/>
      </c>
      <c r="J14" s="4" t="inlineStr">
        <is>
          <t>SCORING SCALE</t>
        </is>
      </c>
    </row>
    <row r="15">
      <c r="A15" s="9" t="n"/>
      <c r="B15" s="9" t="n"/>
      <c r="C15" s="9" t="n"/>
      <c r="D15" s="9" t="n"/>
      <c r="E15" s="9" t="n"/>
      <c r="F15" s="9" t="n"/>
      <c r="G15" s="9">
        <f>IF(COUNTA(B15:F15)=0,"",AVERAGE(B15:F15))</f>
        <v/>
      </c>
      <c r="H15" s="9">
        <f>IF(COUNTA(B15:F15)=0,"",INDEX($B$2:$F$2,MATCH(MIN(B15:F15),B15:F15,0)))</f>
        <v/>
      </c>
      <c r="J15" s="6" t="inlineStr">
        <is>
          <t>1 = No evidence</t>
        </is>
      </c>
    </row>
    <row r="16">
      <c r="A16" s="9" t="n"/>
      <c r="B16" s="9" t="n"/>
      <c r="C16" s="9" t="n"/>
      <c r="D16" s="9" t="n"/>
      <c r="E16" s="9" t="n"/>
      <c r="F16" s="9" t="n"/>
      <c r="G16" s="9">
        <f>IF(COUNTA(B16:F16)=0,"",AVERAGE(B16:F16))</f>
        <v/>
      </c>
      <c r="H16" s="9">
        <f>IF(COUNTA(B16:F16)=0,"",INDEX($B$2:$F$2,MATCH(MIN(B16:F16),B16:F16,0)))</f>
        <v/>
      </c>
      <c r="J16" s="6" t="inlineStr">
        <is>
          <t>2 = Limited evidence</t>
        </is>
      </c>
    </row>
    <row r="17">
      <c r="A17" s="9" t="n"/>
      <c r="B17" s="9" t="n"/>
      <c r="C17" s="9" t="n"/>
      <c r="D17" s="9" t="n"/>
      <c r="E17" s="9" t="n"/>
      <c r="F17" s="9" t="n"/>
      <c r="G17" s="9">
        <f>IF(COUNTA(B17:F17)=0,"",AVERAGE(B17:F17))</f>
        <v/>
      </c>
      <c r="H17" s="9">
        <f>IF(COUNTA(B17:F17)=0,"",INDEX($B$2:$F$2,MATCH(MIN(B17:F17),B17:F17,0)))</f>
        <v/>
      </c>
      <c r="J17" s="6" t="inlineStr">
        <is>
          <t>3 = Some evidence</t>
        </is>
      </c>
    </row>
    <row r="18">
      <c r="A18" s="9" t="n"/>
      <c r="B18" s="9" t="n"/>
      <c r="C18" s="9" t="n"/>
      <c r="D18" s="9" t="n"/>
      <c r="E18" s="9" t="n"/>
      <c r="F18" s="9" t="n"/>
      <c r="G18" s="9">
        <f>IF(COUNTA(B18:F18)=0,"",AVERAGE(B18:F18))</f>
        <v/>
      </c>
      <c r="H18" s="9">
        <f>IF(COUNTA(B18:F18)=0,"",INDEX($B$2:$F$2,MATCH(MIN(B18:F18),B18:F18,0)))</f>
        <v/>
      </c>
      <c r="J18" s="6" t="inlineStr">
        <is>
          <t>4 = Strong evidence</t>
        </is>
      </c>
    </row>
    <row r="19">
      <c r="A19" s="9" t="n"/>
      <c r="B19" s="9" t="n"/>
      <c r="C19" s="9" t="n"/>
      <c r="D19" s="9" t="n"/>
      <c r="E19" s="9" t="n"/>
      <c r="F19" s="9" t="n"/>
      <c r="G19" s="9">
        <f>IF(COUNTA(B19:F19)=0,"",AVERAGE(B19:F19))</f>
        <v/>
      </c>
      <c r="H19" s="9">
        <f>IF(COUNTA(B19:F19)=0,"",INDEX($B$2:$F$2,MATCH(MIN(B19:F19),B19:F19,0)))</f>
        <v/>
      </c>
      <c r="J19" s="6" t="inlineStr">
        <is>
          <t>5 = Full demonstration</t>
        </is>
      </c>
    </row>
    <row r="20">
      <c r="A20" s="9" t="n"/>
      <c r="B20" s="9" t="n"/>
      <c r="C20" s="9" t="n"/>
      <c r="D20" s="9" t="n"/>
      <c r="E20" s="9" t="n"/>
      <c r="F20" s="9" t="n"/>
      <c r="G20" s="9">
        <f>IF(COUNTA(B20:F20)=0,"",AVERAGE(B20:F20))</f>
        <v/>
      </c>
      <c r="H20" s="9">
        <f>IF(COUNTA(B20:F20)=0,"",INDEX($B$2:$F$2,MATCH(MIN(B20:F20),B20:F20,0)))</f>
        <v/>
      </c>
    </row>
    <row r="21">
      <c r="A21" s="9" t="n"/>
      <c r="B21" s="9" t="n"/>
      <c r="C21" s="9" t="n"/>
      <c r="D21" s="9" t="n"/>
      <c r="E21" s="9" t="n"/>
      <c r="F21" s="9" t="n"/>
      <c r="G21" s="9">
        <f>IF(COUNTA(B21:F21)=0,"",AVERAGE(B21:F21))</f>
        <v/>
      </c>
      <c r="H21" s="9">
        <f>IF(COUNTA(B21:F21)=0,"",INDEX($B$2:$F$2,MATCH(MIN(B21:F21),B21:F21,0)))</f>
        <v/>
      </c>
      <c r="J21" s="4" t="inlineStr">
        <is>
          <t>BARRIER POINT</t>
        </is>
      </c>
    </row>
    <row r="22">
      <c r="A22" s="9" t="n"/>
      <c r="B22" s="9" t="n"/>
      <c r="C22" s="9" t="n"/>
      <c r="D22" s="9" t="n"/>
      <c r="E22" s="9" t="n"/>
      <c r="F22" s="9" t="n"/>
      <c r="G22" s="9">
        <f>IF(COUNTA(B22:F22)=0,"",AVERAGE(B22:F22))</f>
        <v/>
      </c>
      <c r="H22" s="9">
        <f>IF(COUNTA(B22:F22)=0,"",INDEX($B$2:$F$2,MATCH(MIN(B22:F22),B22:F22,0)))</f>
        <v/>
      </c>
      <c r="J22" s="6" t="inlineStr">
        <is>
          <t>Auto-identifies the lowest</t>
        </is>
      </c>
    </row>
    <row r="23">
      <c r="A23" s="9" t="n"/>
      <c r="B23" s="9" t="n"/>
      <c r="C23" s="9" t="n"/>
      <c r="D23" s="9" t="n"/>
      <c r="E23" s="9" t="n"/>
      <c r="F23" s="9" t="n"/>
      <c r="G23" s="9">
        <f>IF(COUNTA(B23:F23)=0,"",AVERAGE(B23:F23))</f>
        <v/>
      </c>
      <c r="H23" s="9">
        <f>IF(COUNTA(B23:F23)=0,"",INDEX($B$2:$F$2,MATCH(MIN(B23:F23),B23:F23,0)))</f>
        <v/>
      </c>
      <c r="J23" s="6" t="inlineStr">
        <is>
          <t>scoring element - focus</t>
        </is>
      </c>
    </row>
    <row r="24">
      <c r="A24" s="9" t="n"/>
      <c r="B24" s="9" t="n"/>
      <c r="C24" s="9" t="n"/>
      <c r="D24" s="9" t="n"/>
      <c r="E24" s="9" t="n"/>
      <c r="F24" s="9" t="n"/>
      <c r="G24" s="9">
        <f>IF(COUNTA(B24:F24)=0,"",AVERAGE(B24:F24))</f>
        <v/>
      </c>
      <c r="H24" s="9">
        <f>IF(COUNTA(B24:F24)=0,"",INDEX($B$2:$F$2,MATCH(MIN(B24:F24),B24:F24,0)))</f>
        <v/>
      </c>
      <c r="J24" s="6" t="inlineStr">
        <is>
          <t>interventions here first.</t>
        </is>
      </c>
    </row>
    <row r="25">
      <c r="A25" s="9" t="n"/>
      <c r="B25" s="9" t="n"/>
      <c r="C25" s="9" t="n"/>
      <c r="D25" s="9" t="n"/>
      <c r="E25" s="9" t="n"/>
      <c r="F25" s="9" t="n"/>
      <c r="G25" s="9">
        <f>IF(COUNTA(B25:F25)=0,"",AVERAGE(B25:F25))</f>
        <v/>
      </c>
      <c r="H25" s="9">
        <f>IF(COUNTA(B25:F25)=0,"",INDEX($B$2:$F$2,MATCH(MIN(B25:F25),B25:F25,0)))</f>
        <v/>
      </c>
    </row>
    <row r="26">
      <c r="A26" s="9" t="n"/>
      <c r="B26" s="9" t="n"/>
      <c r="C26" s="9" t="n"/>
      <c r="D26" s="9" t="n"/>
      <c r="E26" s="9" t="n"/>
      <c r="F26" s="9" t="n"/>
      <c r="G26" s="9">
        <f>IF(COUNTA(B26:F26)=0,"",AVERAGE(B26:F26))</f>
        <v/>
      </c>
      <c r="H26" s="9">
        <f>IF(COUNTA(B26:F26)=0,"",INDEX($B$2:$F$2,MATCH(MIN(B26:F26),B26:F26,0)))</f>
        <v/>
      </c>
      <c r="J26" s="4" t="inlineStr">
        <is>
          <t>TIP</t>
        </is>
      </c>
    </row>
    <row r="27">
      <c r="A27" s="9" t="n"/>
      <c r="B27" s="9" t="n"/>
      <c r="C27" s="9" t="n"/>
      <c r="D27" s="9" t="n"/>
      <c r="E27" s="9" t="n"/>
      <c r="F27" s="9" t="n"/>
      <c r="G27" s="9">
        <f>IF(COUNTA(B27:F27)=0,"",AVERAGE(B27:F27))</f>
        <v/>
      </c>
      <c r="H27" s="9">
        <f>IF(COUNTA(B27:F27)=0,"",INDEX($B$2:$F$2,MATCH(MIN(B27:F27),B27:F27,0)))</f>
        <v/>
      </c>
      <c r="J27" s="6" t="inlineStr">
        <is>
          <t>Address elements sequentially.</t>
        </is>
      </c>
    </row>
    <row r="28">
      <c r="J28" s="6" t="inlineStr">
        <is>
          <t>Cannot build Desire without</t>
        </is>
      </c>
    </row>
    <row r="29">
      <c r="J29" s="6" t="inlineStr">
        <is>
          <t>first establishing Awareness.</t>
        </is>
      </c>
    </row>
  </sheetData>
  <mergeCells count="1">
    <mergeCell ref="J1:K1"/>
  </mergeCells>
  <dataValidations count="1">
    <dataValidation sqref="B3:F27" showDropDown="0" showInputMessage="0" showErrorMessage="0" allowBlank="1" error="Enter a score between 1 and 5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53"/>
  <sheetViews>
    <sheetView workbookViewId="0">
      <pane xSplit="13" topLeftCell="N1" activePane="topRight" state="frozen"/>
      <selection pane="topRight" activeCell="A1" sqref="A1"/>
    </sheetView>
  </sheetViews>
  <sheetFormatPr baseColWidth="8" defaultRowHeight="15"/>
  <cols>
    <col width="20" customWidth="1" min="1" max="1"/>
    <col width="22" customWidth="1" min="2" max="2"/>
    <col width="15" customWidth="1" min="3" max="3"/>
    <col width="8" customWidth="1" min="4" max="4"/>
    <col width="8" customWidth="1" min="5" max="5"/>
    <col width="12" customWidth="1" min="6" max="6"/>
    <col width="12" customWidth="1" min="7" max="7"/>
    <col width="35" customWidth="1" min="8" max="8"/>
    <col width="15" customWidth="1" min="9" max="9"/>
    <col width="10" customWidth="1" min="10" max="10"/>
    <col width="12" customWidth="1" min="11" max="11"/>
    <col width="12" customWidth="1" min="12" max="12"/>
    <col width="22" customWidth="1" min="14" max="14"/>
    <col width="8" customWidth="1" min="15" max="15"/>
    <col width="8" customWidth="1" min="16" max="16"/>
    <col width="35" customWidth="1" min="17" max="17"/>
    <col width="10" customWidth="1" min="18" max="18"/>
    <col width="18" customWidth="1" min="20" max="20"/>
    <col width="8" customWidth="1" min="21" max="21"/>
    <col width="30" customWidth="1" min="23" max="23"/>
  </cols>
  <sheetData>
    <row r="1">
      <c r="N1" s="10" t="inlineStr">
        <is>
          <t>ROLE TEMPLATES</t>
        </is>
      </c>
      <c r="S1" s="11" t="inlineStr">
        <is>
          <t>Cascade Factor:</t>
        </is>
      </c>
      <c r="T1" s="10" t="inlineStr">
        <is>
          <t>STATE SCALE</t>
        </is>
      </c>
      <c r="W1" s="12" t="inlineStr">
        <is>
          <t>INSTRUCTIONS</t>
        </is>
      </c>
    </row>
    <row r="2">
      <c r="N2" s="5" t="inlineStr">
        <is>
          <t>Role</t>
        </is>
      </c>
      <c r="O2" s="5" t="inlineStr">
        <is>
          <t>Power</t>
        </is>
      </c>
      <c r="P2" s="5" t="inlineStr">
        <is>
          <t>Interest</t>
        </is>
      </c>
      <c r="Q2" s="5" t="inlineStr">
        <is>
          <t>Key Messages</t>
        </is>
      </c>
      <c r="R2" s="5" t="inlineStr">
        <is>
          <t>Hierarchy</t>
        </is>
      </c>
      <c r="S2" t="inlineStr">
        <is>
          <t>(Global)</t>
        </is>
      </c>
      <c r="T2" s="5" t="inlineStr">
        <is>
          <t>State</t>
        </is>
      </c>
      <c r="U2" s="5" t="inlineStr">
        <is>
          <t>Value</t>
        </is>
      </c>
    </row>
    <row r="3">
      <c r="A3" s="5" t="inlineStr">
        <is>
          <t>Name</t>
        </is>
      </c>
      <c r="B3" s="5" t="inlineStr">
        <is>
          <t>Role Template</t>
        </is>
      </c>
      <c r="C3" s="5" t="inlineStr">
        <is>
          <t>Department</t>
        </is>
      </c>
      <c r="D3" s="5" t="inlineStr">
        <is>
          <t>Power</t>
        </is>
      </c>
      <c r="E3" s="5" t="inlineStr">
        <is>
          <t>Interest</t>
        </is>
      </c>
      <c r="F3" s="5" t="inlineStr">
        <is>
          <t>Current State</t>
        </is>
      </c>
      <c r="G3" s="5" t="inlineStr">
        <is>
          <t>Desired State</t>
        </is>
      </c>
      <c r="H3" s="5" t="inlineStr">
        <is>
          <t>Key Messages</t>
        </is>
      </c>
      <c r="I3" s="5" t="inlineStr">
        <is>
          <t>Strategy</t>
        </is>
      </c>
      <c r="J3" s="5" t="inlineStr">
        <is>
          <t>Base Risk</t>
        </is>
      </c>
      <c r="K3" s="5" t="inlineStr">
        <is>
          <t>Cascade Factor</t>
        </is>
      </c>
      <c r="L3" s="5" t="inlineStr">
        <is>
          <t>Adjusted Risk</t>
        </is>
      </c>
      <c r="N3" s="9" t="inlineStr">
        <is>
          <t>Executive Sponsor</t>
        </is>
      </c>
      <c r="O3" s="9" t="inlineStr">
        <is>
          <t>High</t>
        </is>
      </c>
      <c r="P3" s="9" t="inlineStr">
        <is>
          <t>High</t>
        </is>
      </c>
      <c r="Q3" s="9" t="inlineStr">
        <is>
          <t>Strategic alignment, ROI, timeline, organizational impact</t>
        </is>
      </c>
      <c r="R3" s="9" t="n">
        <v>1</v>
      </c>
      <c r="S3">
        <f>1-((IF(AND(B4="Executive Sponsor",OR(F4="Committed",F4="Advocating")),0.3,0))+(IF(AND(B5="Senior Leadership",OR(F5="Committed",F5="Advocating")),0.2,0)))</f>
        <v/>
      </c>
      <c r="T3" s="9" t="inlineStr">
        <is>
          <t>Unaware</t>
        </is>
      </c>
      <c r="U3" s="7" t="n">
        <v>1</v>
      </c>
      <c r="W3" s="4" t="inlineStr">
        <is>
          <t>PURPOSE</t>
        </is>
      </c>
    </row>
    <row r="4">
      <c r="A4" s="9" t="n"/>
      <c r="B4" s="9" t="inlineStr">
        <is>
          <t>Executive Sponsor</t>
        </is>
      </c>
      <c r="C4" s="9" t="n"/>
      <c r="D4" s="7">
        <f>IF(B4="","",VLOOKUP(B4,$N$3:$R$14,2,FALSE))</f>
        <v/>
      </c>
      <c r="E4" s="7">
        <f>IF(B4="","",VLOOKUP(B4,$N$3:$R$14,3,FALSE))</f>
        <v/>
      </c>
      <c r="F4" s="7" t="n"/>
      <c r="G4" s="7" t="n"/>
      <c r="H4" s="7">
        <f>IF(B4="","",VLOOKUP(B4,$N$3:$R$14,4,FALSE))</f>
        <v/>
      </c>
      <c r="I4" s="7">
        <f>IF(OR(D4="",E4=""),"",IF(AND(D4="High",E4="High"),"Manage Closely",IF(AND(D4="High",E4="Medium"),"Keep Satisfied",IF(AND(D4="High",E4="Low"),"Keep Satisfied",IF(AND(D4="Medium",E4="High"),"Keep Informed",IF(AND(D4="Medium",E4="Medium"),"Keep Informed",IF(AND(D4="Medium",E4="Low"),"Monitor",IF(AND(D4="Low",E4="High"),"Keep Informed",IF(AND(D4="Low",E4="Medium"),"Monitor","Monitor")))))))))</f>
        <v/>
      </c>
      <c r="J4" s="7">
        <f>IF(OR(F4="",G4=""),"",(VLOOKUP(G4,$T$3:$U$8,2,FALSE)-VLOOKUP(F4,$T$3:$U$8,2,FALSE))*IF(D4="High",3,IF(D4="Medium",2,1))*6.67)</f>
        <v/>
      </c>
      <c r="K4" s="7">
        <f>IF(B4="","",IF(VLOOKUP(B4,$N$3:$R$14,5,FALSE)&lt;=2,1,1-((IF(AND($B$4="Executive Sponsor",OR($F$4="Committed",$F$4="Advocating")),0.3,0))+(IF(AND($B$5="Senior Leadership",OR($F$5="Committed",$F$5="Advocating")),0.2,0)))))</f>
        <v/>
      </c>
      <c r="L4" s="7">
        <f>IF(OR(J4="",K4=""),"",MAX(0,ROUND(J4*K4,0)))</f>
        <v/>
      </c>
      <c r="N4" s="9" t="inlineStr">
        <is>
          <t>Senior Leadership</t>
        </is>
      </c>
      <c r="O4" s="9" t="inlineStr">
        <is>
          <t>High</t>
        </is>
      </c>
      <c r="P4" s="9" t="inlineStr">
        <is>
          <t>Medium</t>
        </is>
      </c>
      <c r="Q4" s="9" t="inlineStr">
        <is>
          <t>Business case, resource needs, risks, department goals</t>
        </is>
      </c>
      <c r="R4" s="9" t="n">
        <v>2</v>
      </c>
      <c r="T4" s="9" t="inlineStr">
        <is>
          <t>Aware</t>
        </is>
      </c>
      <c r="U4" s="7" t="n">
        <v>2</v>
      </c>
      <c r="W4" s="13" t="inlineStr">
        <is>
          <t>Analyze stakeholders with</t>
        </is>
      </c>
    </row>
    <row r="5">
      <c r="A5" s="9" t="n"/>
      <c r="B5" s="9" t="inlineStr">
        <is>
          <t>Senior Leadership</t>
        </is>
      </c>
      <c r="C5" s="9" t="n"/>
      <c r="D5" s="7">
        <f>IF(B5="","",VLOOKUP(B5,$N$3:$R$14,2,FALSE))</f>
        <v/>
      </c>
      <c r="E5" s="7">
        <f>IF(B5="","",VLOOKUP(B5,$N$3:$R$14,3,FALSE))</f>
        <v/>
      </c>
      <c r="F5" s="7" t="n"/>
      <c r="G5" s="7" t="n"/>
      <c r="H5" s="7">
        <f>IF(B5="","",VLOOKUP(B5,$N$3:$R$14,4,FALSE))</f>
        <v/>
      </c>
      <c r="I5" s="7">
        <f>IF(OR(D5="",E5=""),"",IF(AND(D5="High",E5="High"),"Manage Closely",IF(AND(D5="High",E5="Medium"),"Keep Satisfied",IF(AND(D5="High",E5="Low"),"Keep Satisfied",IF(AND(D5="Medium",E5="High"),"Keep Informed",IF(AND(D5="Medium",E5="Medium"),"Keep Informed",IF(AND(D5="Medium",E5="Low"),"Monitor",IF(AND(D5="Low",E5="High"),"Keep Informed",IF(AND(D5="Low",E5="Medium"),"Monitor","Monitor")))))))))</f>
        <v/>
      </c>
      <c r="J5" s="7">
        <f>IF(OR(F5="",G5=""),"",(VLOOKUP(G5,$T$3:$U$8,2,FALSE)-VLOOKUP(F5,$T$3:$U$8,2,FALSE))*IF(D5="High",3,IF(D5="Medium",2,1))*6.67)</f>
        <v/>
      </c>
      <c r="K5" s="7">
        <f>IF(B5="","",IF(VLOOKUP(B5,$N$3:$R$14,5,FALSE)&lt;=2,1,1-((IF(AND($B$4="Executive Sponsor",OR($F$4="Committed",$F$4="Advocating")),0.3,0))+(IF(AND($B$5="Senior Leadership",OR($F$5="Committed",$F$5="Advocating")),0.2,0)))))</f>
        <v/>
      </c>
      <c r="L5" s="7">
        <f>IF(OR(J5="",K5=""),"",MAX(0,ROUND(J5*K5,0)))</f>
        <v/>
      </c>
      <c r="N5" s="9" t="inlineStr">
        <is>
          <t>Middle Manager</t>
        </is>
      </c>
      <c r="O5" s="9" t="inlineStr">
        <is>
          <t>Medium</t>
        </is>
      </c>
      <c r="P5" s="9" t="inlineStr">
        <is>
          <t>High</t>
        </is>
      </c>
      <c r="Q5" s="9" t="inlineStr">
        <is>
          <t>Team impacts, timeline, support needed, performance metrics</t>
        </is>
      </c>
      <c r="R5" s="9" t="n">
        <v>3</v>
      </c>
      <c r="T5" s="9" t="inlineStr">
        <is>
          <t>Understanding</t>
        </is>
      </c>
      <c r="U5" s="7" t="n">
        <v>3</v>
      </c>
      <c r="W5" s="13" t="inlineStr">
        <is>
          <t>auto-calculated risk scores</t>
        </is>
      </c>
    </row>
    <row r="6">
      <c r="A6" s="9" t="n"/>
      <c r="B6" s="9" t="n"/>
      <c r="C6" s="9" t="n"/>
      <c r="D6" s="7">
        <f>IF(B6="","",VLOOKUP(B6,$N$3:$R$14,2,FALSE))</f>
        <v/>
      </c>
      <c r="E6" s="7">
        <f>IF(B6="","",VLOOKUP(B6,$N$3:$R$14,3,FALSE))</f>
        <v/>
      </c>
      <c r="F6" s="7" t="n"/>
      <c r="G6" s="7" t="n"/>
      <c r="H6" s="7">
        <f>IF(B6="","",VLOOKUP(B6,$N$3:$R$14,4,FALSE))</f>
        <v/>
      </c>
      <c r="I6" s="7">
        <f>IF(OR(D6="",E6=""),"",IF(AND(D6="High",E6="High"),"Manage Closely",IF(AND(D6="High",E6="Medium"),"Keep Satisfied",IF(AND(D6="High",E6="Low"),"Keep Satisfied",IF(AND(D6="Medium",E6="High"),"Keep Informed",IF(AND(D6="Medium",E6="Medium"),"Keep Informed",IF(AND(D6="Medium",E6="Low"),"Monitor",IF(AND(D6="Low",E6="High"),"Keep Informed",IF(AND(D6="Low",E6="Medium"),"Monitor","Monitor")))))))))</f>
        <v/>
      </c>
      <c r="J6" s="7">
        <f>IF(OR(F6="",G6=""),"",(VLOOKUP(G6,$T$3:$U$8,2,FALSE)-VLOOKUP(F6,$T$3:$U$8,2,FALSE))*IF(D6="High",3,IF(D6="Medium",2,1))*6.67)</f>
        <v/>
      </c>
      <c r="K6" s="7">
        <f>IF(B6="","",IF(VLOOKUP(B6,$N$3:$R$14,5,FALSE)&lt;=2,1,1-((IF(AND($B$4="Executive Sponsor",OR($F$4="Committed",$F$4="Advocating")),0.3,0))+(IF(AND($B$5="Senior Leadership",OR($F$5="Committed",$F$5="Advocating")),0.2,0)))))</f>
        <v/>
      </c>
      <c r="L6" s="7">
        <f>IF(OR(J6="",K6=""),"",MAX(0,ROUND(J6*K6,0)))</f>
        <v/>
      </c>
      <c r="N6" s="9" t="inlineStr">
        <is>
          <t>Front-line Supervisor</t>
        </is>
      </c>
      <c r="O6" s="9" t="inlineStr">
        <is>
          <t>Medium</t>
        </is>
      </c>
      <c r="P6" s="9" t="inlineStr">
        <is>
          <t>High</t>
        </is>
      </c>
      <c r="Q6" s="9" t="inlineStr">
        <is>
          <t>Day-to-day impacts, team concerns, training needs</t>
        </is>
      </c>
      <c r="R6" s="9" t="n">
        <v>4</v>
      </c>
      <c r="T6" s="9" t="inlineStr">
        <is>
          <t>Buy-in</t>
        </is>
      </c>
      <c r="U6" s="7" t="n">
        <v>4</v>
      </c>
      <c r="W6" s="13" t="inlineStr">
        <is>
          <t>that cascade from leadership.</t>
        </is>
      </c>
    </row>
    <row r="7">
      <c r="A7" s="9" t="n"/>
      <c r="B7" s="9" t="n"/>
      <c r="C7" s="9" t="n"/>
      <c r="D7" s="7">
        <f>IF(B7="","",VLOOKUP(B7,$N$3:$R$14,2,FALSE))</f>
        <v/>
      </c>
      <c r="E7" s="7">
        <f>IF(B7="","",VLOOKUP(B7,$N$3:$R$14,3,FALSE))</f>
        <v/>
      </c>
      <c r="F7" s="7" t="n"/>
      <c r="G7" s="7" t="n"/>
      <c r="H7" s="7">
        <f>IF(B7="","",VLOOKUP(B7,$N$3:$R$14,4,FALSE))</f>
        <v/>
      </c>
      <c r="I7" s="7">
        <f>IF(OR(D7="",E7=""),"",IF(AND(D7="High",E7="High"),"Manage Closely",IF(AND(D7="High",E7="Medium"),"Keep Satisfied",IF(AND(D7="High",E7="Low"),"Keep Satisfied",IF(AND(D7="Medium",E7="High"),"Keep Informed",IF(AND(D7="Medium",E7="Medium"),"Keep Informed",IF(AND(D7="Medium",E7="Low"),"Monitor",IF(AND(D7="Low",E7="High"),"Keep Informed",IF(AND(D7="Low",E7="Medium"),"Monitor","Monitor")))))))))</f>
        <v/>
      </c>
      <c r="J7" s="7">
        <f>IF(OR(F7="",G7=""),"",(VLOOKUP(G7,$T$3:$U$8,2,FALSE)-VLOOKUP(F7,$T$3:$U$8,2,FALSE))*IF(D7="High",3,IF(D7="Medium",2,1))*6.67)</f>
        <v/>
      </c>
      <c r="K7" s="7">
        <f>IF(B7="","",IF(VLOOKUP(B7,$N$3:$R$14,5,FALSE)&lt;=2,1,1-((IF(AND($B$4="Executive Sponsor",OR($F$4="Committed",$F$4="Advocating")),0.3,0))+(IF(AND($B$5="Senior Leadership",OR($F$5="Committed",$F$5="Advocating")),0.2,0)))))</f>
        <v/>
      </c>
      <c r="L7" s="7">
        <f>IF(OR(J7="",K7=""),"",MAX(0,ROUND(J7*K7,0)))</f>
        <v/>
      </c>
      <c r="N7" s="9" t="inlineStr">
        <is>
          <t>End User (Heavy Impact)</t>
        </is>
      </c>
      <c r="O7" s="9" t="inlineStr">
        <is>
          <t>Low</t>
        </is>
      </c>
      <c r="P7" s="9" t="inlineStr">
        <is>
          <t>High</t>
        </is>
      </c>
      <c r="Q7" s="9" t="inlineStr">
        <is>
          <t>What changes, when, training, support available</t>
        </is>
      </c>
      <c r="R7" s="9" t="n">
        <v>5</v>
      </c>
      <c r="T7" s="9" t="inlineStr">
        <is>
          <t>Committed</t>
        </is>
      </c>
      <c r="U7" s="7" t="n">
        <v>5</v>
      </c>
    </row>
    <row r="8">
      <c r="A8" s="9" t="n"/>
      <c r="B8" s="9" t="n"/>
      <c r="C8" s="9" t="n"/>
      <c r="D8" s="7">
        <f>IF(B8="","",VLOOKUP(B8,$N$3:$R$14,2,FALSE))</f>
        <v/>
      </c>
      <c r="E8" s="7">
        <f>IF(B8="","",VLOOKUP(B8,$N$3:$R$14,3,FALSE))</f>
        <v/>
      </c>
      <c r="F8" s="7" t="n"/>
      <c r="G8" s="7" t="n"/>
      <c r="H8" s="7">
        <f>IF(B8="","",VLOOKUP(B8,$N$3:$R$14,4,FALSE))</f>
        <v/>
      </c>
      <c r="I8" s="7">
        <f>IF(OR(D8="",E8=""),"",IF(AND(D8="High",E8="High"),"Manage Closely",IF(AND(D8="High",E8="Medium"),"Keep Satisfied",IF(AND(D8="High",E8="Low"),"Keep Satisfied",IF(AND(D8="Medium",E8="High"),"Keep Informed",IF(AND(D8="Medium",E8="Medium"),"Keep Informed",IF(AND(D8="Medium",E8="Low"),"Monitor",IF(AND(D8="Low",E8="High"),"Keep Informed",IF(AND(D8="Low",E8="Medium"),"Monitor","Monitor")))))))))</f>
        <v/>
      </c>
      <c r="J8" s="7">
        <f>IF(OR(F8="",G8=""),"",(VLOOKUP(G8,$T$3:$U$8,2,FALSE)-VLOOKUP(F8,$T$3:$U$8,2,FALSE))*IF(D8="High",3,IF(D8="Medium",2,1))*6.67)</f>
        <v/>
      </c>
      <c r="K8" s="7">
        <f>IF(B8="","",IF(VLOOKUP(B8,$N$3:$R$14,5,FALSE)&lt;=2,1,1-((IF(AND($B$4="Executive Sponsor",OR($F$4="Committed",$F$4="Advocating")),0.3,0))+(IF(AND($B$5="Senior Leadership",OR($F$5="Committed",$F$5="Advocating")),0.2,0)))))</f>
        <v/>
      </c>
      <c r="L8" s="7">
        <f>IF(OR(J8="",K8=""),"",MAX(0,ROUND(J8*K8,0)))</f>
        <v/>
      </c>
      <c r="N8" s="9" t="inlineStr">
        <is>
          <t>End User (Light Impact)</t>
        </is>
      </c>
      <c r="O8" s="9" t="inlineStr">
        <is>
          <t>Low</t>
        </is>
      </c>
      <c r="P8" s="9" t="inlineStr">
        <is>
          <t>Medium</t>
        </is>
      </c>
      <c r="Q8" s="9" t="inlineStr">
        <is>
          <t>High-level overview, minimal disruption expected</t>
        </is>
      </c>
      <c r="R8" s="9" t="n">
        <v>5</v>
      </c>
      <c r="T8" s="9" t="inlineStr">
        <is>
          <t>Advocating</t>
        </is>
      </c>
      <c r="U8" s="7" t="n">
        <v>6</v>
      </c>
      <c r="W8" s="4" t="inlineStr">
        <is>
          <t>HOW TO USE</t>
        </is>
      </c>
    </row>
    <row r="9">
      <c r="A9" s="9" t="n"/>
      <c r="B9" s="9" t="n"/>
      <c r="C9" s="9" t="n"/>
      <c r="D9" s="7">
        <f>IF(B9="","",VLOOKUP(B9,$N$3:$R$14,2,FALSE))</f>
        <v/>
      </c>
      <c r="E9" s="7">
        <f>IF(B9="","",VLOOKUP(B9,$N$3:$R$14,3,FALSE))</f>
        <v/>
      </c>
      <c r="F9" s="7" t="n"/>
      <c r="G9" s="7" t="n"/>
      <c r="H9" s="7">
        <f>IF(B9="","",VLOOKUP(B9,$N$3:$R$14,4,FALSE))</f>
        <v/>
      </c>
      <c r="I9" s="7">
        <f>IF(OR(D9="",E9=""),"",IF(AND(D9="High",E9="High"),"Manage Closely",IF(AND(D9="High",E9="Medium"),"Keep Satisfied",IF(AND(D9="High",E9="Low"),"Keep Satisfied",IF(AND(D9="Medium",E9="High"),"Keep Informed",IF(AND(D9="Medium",E9="Medium"),"Keep Informed",IF(AND(D9="Medium",E9="Low"),"Monitor",IF(AND(D9="Low",E9="High"),"Keep Informed",IF(AND(D9="Low",E9="Medium"),"Monitor","Monitor")))))))))</f>
        <v/>
      </c>
      <c r="J9" s="7">
        <f>IF(OR(F9="",G9=""),"",(VLOOKUP(G9,$T$3:$U$8,2,FALSE)-VLOOKUP(F9,$T$3:$U$8,2,FALSE))*IF(D9="High",3,IF(D9="Medium",2,1))*6.67)</f>
        <v/>
      </c>
      <c r="K9" s="7">
        <f>IF(B9="","",IF(VLOOKUP(B9,$N$3:$R$14,5,FALSE)&lt;=2,1,1-((IF(AND($B$4="Executive Sponsor",OR($F$4="Committed",$F$4="Advocating")),0.3,0))+(IF(AND($B$5="Senior Leadership",OR($F$5="Committed",$F$5="Advocating")),0.2,0)))))</f>
        <v/>
      </c>
      <c r="L9" s="7">
        <f>IF(OR(J9="",K9=""),"",MAX(0,ROUND(J9*K9,0)))</f>
        <v/>
      </c>
      <c r="N9" s="9" t="inlineStr">
        <is>
          <t>IT Support Staff</t>
        </is>
      </c>
      <c r="O9" s="9" t="inlineStr">
        <is>
          <t>Medium</t>
        </is>
      </c>
      <c r="P9" s="9" t="inlineStr">
        <is>
          <t>High</t>
        </is>
      </c>
      <c r="Q9" s="9" t="inlineStr">
        <is>
          <t>Technical details, support requirements, timeline</t>
        </is>
      </c>
      <c r="R9" s="9" t="n">
        <v>4</v>
      </c>
      <c r="W9" s="13" t="inlineStr">
        <is>
          <t>1. Start with Exec Sponsor (row 4)</t>
        </is>
      </c>
    </row>
    <row r="10">
      <c r="A10" s="9" t="n"/>
      <c r="B10" s="9" t="n"/>
      <c r="C10" s="9" t="n"/>
      <c r="D10" s="7">
        <f>IF(B10="","",VLOOKUP(B10,$N$3:$R$14,2,FALSE))</f>
        <v/>
      </c>
      <c r="E10" s="7">
        <f>IF(B10="","",VLOOKUP(B10,$N$3:$R$14,3,FALSE))</f>
        <v/>
      </c>
      <c r="F10" s="7" t="n"/>
      <c r="G10" s="7" t="n"/>
      <c r="H10" s="7">
        <f>IF(B10="","",VLOOKUP(B10,$N$3:$R$14,4,FALSE))</f>
        <v/>
      </c>
      <c r="I10" s="7">
        <f>IF(OR(D10="",E10=""),"",IF(AND(D10="High",E10="High"),"Manage Closely",IF(AND(D10="High",E10="Medium"),"Keep Satisfied",IF(AND(D10="High",E10="Low"),"Keep Satisfied",IF(AND(D10="Medium",E10="High"),"Keep Informed",IF(AND(D10="Medium",E10="Medium"),"Keep Informed",IF(AND(D10="Medium",E10="Low"),"Monitor",IF(AND(D10="Low",E10="High"),"Keep Informed",IF(AND(D10="Low",E10="Medium"),"Monitor","Monitor")))))))))</f>
        <v/>
      </c>
      <c r="J10" s="7">
        <f>IF(OR(F10="",G10=""),"",(VLOOKUP(G10,$T$3:$U$8,2,FALSE)-VLOOKUP(F10,$T$3:$U$8,2,FALSE))*IF(D10="High",3,IF(D10="Medium",2,1))*6.67)</f>
        <v/>
      </c>
      <c r="K10" s="7">
        <f>IF(B10="","",IF(VLOOKUP(B10,$N$3:$R$14,5,FALSE)&lt;=2,1,1-((IF(AND($B$4="Executive Sponsor",OR($F$4="Committed",$F$4="Advocating")),0.3,0))+(IF(AND($B$5="Senior Leadership",OR($F$5="Committed",$F$5="Advocating")),0.2,0)))))</f>
        <v/>
      </c>
      <c r="L10" s="7">
        <f>IF(OR(J10="",K10=""),"",MAX(0,ROUND(J10*K10,0)))</f>
        <v/>
      </c>
      <c r="N10" s="9" t="inlineStr">
        <is>
          <t>HR/Training Team</t>
        </is>
      </c>
      <c r="O10" s="9" t="inlineStr">
        <is>
          <t>Medium</t>
        </is>
      </c>
      <c r="P10" s="9" t="inlineStr">
        <is>
          <t>High</t>
        </is>
      </c>
      <c r="Q10" s="9" t="inlineStr">
        <is>
          <t>Training needs, communication support, change impacts</t>
        </is>
      </c>
      <c r="R10" s="9" t="n">
        <v>4</v>
      </c>
      <c r="T10" s="10" t="inlineStr">
        <is>
          <t>RISK CALCULATION</t>
        </is>
      </c>
      <c r="W10" s="13" t="inlineStr">
        <is>
          <t>2. Add Sr Leadership (row 5)</t>
        </is>
      </c>
    </row>
    <row r="11">
      <c r="A11" s="9" t="n"/>
      <c r="B11" s="9" t="n"/>
      <c r="C11" s="9" t="n"/>
      <c r="D11" s="7">
        <f>IF(B11="","",VLOOKUP(B11,$N$3:$R$14,2,FALSE))</f>
        <v/>
      </c>
      <c r="E11" s="7">
        <f>IF(B11="","",VLOOKUP(B11,$N$3:$R$14,3,FALSE))</f>
        <v/>
      </c>
      <c r="F11" s="7" t="n"/>
      <c r="G11" s="7" t="n"/>
      <c r="H11" s="7">
        <f>IF(B11="","",VLOOKUP(B11,$N$3:$R$14,4,FALSE))</f>
        <v/>
      </c>
      <c r="I11" s="7">
        <f>IF(OR(D11="",E11=""),"",IF(AND(D11="High",E11="High"),"Manage Closely",IF(AND(D11="High",E11="Medium"),"Keep Satisfied",IF(AND(D11="High",E11="Low"),"Keep Satisfied",IF(AND(D11="Medium",E11="High"),"Keep Informed",IF(AND(D11="Medium",E11="Medium"),"Keep Informed",IF(AND(D11="Medium",E11="Low"),"Monitor",IF(AND(D11="Low",E11="High"),"Keep Informed",IF(AND(D11="Low",E11="Medium"),"Monitor","Monitor")))))))))</f>
        <v/>
      </c>
      <c r="J11" s="7">
        <f>IF(OR(F11="",G11=""),"",(VLOOKUP(G11,$T$3:$U$8,2,FALSE)-VLOOKUP(F11,$T$3:$U$8,2,FALSE))*IF(D11="High",3,IF(D11="Medium",2,1))*6.67)</f>
        <v/>
      </c>
      <c r="K11" s="7">
        <f>IF(B11="","",IF(VLOOKUP(B11,$N$3:$R$14,5,FALSE)&lt;=2,1,1-((IF(AND($B$4="Executive Sponsor",OR($F$4="Committed",$F$4="Advocating")),0.3,0))+(IF(AND($B$5="Senior Leadership",OR($F$5="Committed",$F$5="Advocating")),0.2,0)))))</f>
        <v/>
      </c>
      <c r="L11" s="7">
        <f>IF(OR(J11="",K11=""),"",MAX(0,ROUND(J11*K11,0)))</f>
        <v/>
      </c>
      <c r="N11" s="9" t="inlineStr">
        <is>
          <t>Finance/Procurement</t>
        </is>
      </c>
      <c r="O11" s="9" t="inlineStr">
        <is>
          <t>Medium</t>
        </is>
      </c>
      <c r="P11" s="9" t="inlineStr">
        <is>
          <t>Medium</t>
        </is>
      </c>
      <c r="Q11" s="9" t="inlineStr">
        <is>
          <t>Budget, ROI, procurement timeline, cost controls</t>
        </is>
      </c>
      <c r="R11" s="9" t="n">
        <v>3</v>
      </c>
      <c r="T11" t="inlineStr">
        <is>
          <t>Base Risk:</t>
        </is>
      </c>
      <c r="W11" s="13" t="inlineStr">
        <is>
          <t>3. Add other stakeholders below</t>
        </is>
      </c>
    </row>
    <row r="12">
      <c r="A12" s="9" t="n"/>
      <c r="B12" s="9" t="n"/>
      <c r="C12" s="9" t="n"/>
      <c r="D12" s="7">
        <f>IF(B12="","",VLOOKUP(B12,$N$3:$R$14,2,FALSE))</f>
        <v/>
      </c>
      <c r="E12" s="7">
        <f>IF(B12="","",VLOOKUP(B12,$N$3:$R$14,3,FALSE))</f>
        <v/>
      </c>
      <c r="F12" s="7" t="n"/>
      <c r="G12" s="7" t="n"/>
      <c r="H12" s="7">
        <f>IF(B12="","",VLOOKUP(B12,$N$3:$R$14,4,FALSE))</f>
        <v/>
      </c>
      <c r="I12" s="7">
        <f>IF(OR(D12="",E12=""),"",IF(AND(D12="High",E12="High"),"Manage Closely",IF(AND(D12="High",E12="Medium"),"Keep Satisfied",IF(AND(D12="High",E12="Low"),"Keep Satisfied",IF(AND(D12="Medium",E12="High"),"Keep Informed",IF(AND(D12="Medium",E12="Medium"),"Keep Informed",IF(AND(D12="Medium",E12="Low"),"Monitor",IF(AND(D12="Low",E12="High"),"Keep Informed",IF(AND(D12="Low",E12="Medium"),"Monitor","Monitor")))))))))</f>
        <v/>
      </c>
      <c r="J12" s="7">
        <f>IF(OR(F12="",G12=""),"",(VLOOKUP(G12,$T$3:$U$8,2,FALSE)-VLOOKUP(F12,$T$3:$U$8,2,FALSE))*IF(D12="High",3,IF(D12="Medium",2,1))*6.67)</f>
        <v/>
      </c>
      <c r="K12" s="7">
        <f>IF(B12="","",IF(VLOOKUP(B12,$N$3:$R$14,5,FALSE)&lt;=2,1,1-((IF(AND($B$4="Executive Sponsor",OR($F$4="Committed",$F$4="Advocating")),0.3,0))+(IF(AND($B$5="Senior Leadership",OR($F$5="Committed",$F$5="Advocating")),0.2,0)))))</f>
        <v/>
      </c>
      <c r="L12" s="7">
        <f>IF(OR(J12="",K12=""),"",MAX(0,ROUND(J12*K12,0)))</f>
        <v/>
      </c>
      <c r="N12" s="9" t="inlineStr">
        <is>
          <t>External Partner</t>
        </is>
      </c>
      <c r="O12" s="9" t="inlineStr">
        <is>
          <t>Low</t>
        </is>
      </c>
      <c r="P12" s="9" t="inlineStr">
        <is>
          <t>Medium</t>
        </is>
      </c>
      <c r="Q12" s="9" t="inlineStr">
        <is>
          <t>Integration points, timeline, support available</t>
        </is>
      </c>
      <c r="R12" s="9" t="n">
        <v>5</v>
      </c>
      <c r="T12" t="inlineStr">
        <is>
          <t>Gap x Role Weight</t>
        </is>
      </c>
      <c r="W12" s="13" t="inlineStr">
        <is>
          <t>4. Select Role Template</t>
        </is>
      </c>
    </row>
    <row r="13">
      <c r="A13" s="9" t="n"/>
      <c r="B13" s="9" t="n"/>
      <c r="C13" s="9" t="n"/>
      <c r="D13" s="7">
        <f>IF(B13="","",VLOOKUP(B13,$N$3:$R$14,2,FALSE))</f>
        <v/>
      </c>
      <c r="E13" s="7">
        <f>IF(B13="","",VLOOKUP(B13,$N$3:$R$14,3,FALSE))</f>
        <v/>
      </c>
      <c r="F13" s="7" t="n"/>
      <c r="G13" s="7" t="n"/>
      <c r="H13" s="7">
        <f>IF(B13="","",VLOOKUP(B13,$N$3:$R$14,4,FALSE))</f>
        <v/>
      </c>
      <c r="I13" s="7">
        <f>IF(OR(D13="",E13=""),"",IF(AND(D13="High",E13="High"),"Manage Closely",IF(AND(D13="High",E13="Medium"),"Keep Satisfied",IF(AND(D13="High",E13="Low"),"Keep Satisfied",IF(AND(D13="Medium",E13="High"),"Keep Informed",IF(AND(D13="Medium",E13="Medium"),"Keep Informed",IF(AND(D13="Medium",E13="Low"),"Monitor",IF(AND(D13="Low",E13="High"),"Keep Informed",IF(AND(D13="Low",E13="Medium"),"Monitor","Monitor")))))))))</f>
        <v/>
      </c>
      <c r="J13" s="7">
        <f>IF(OR(F13="",G13=""),"",(VLOOKUP(G13,$T$3:$U$8,2,FALSE)-VLOOKUP(F13,$T$3:$U$8,2,FALSE))*IF(D13="High",3,IF(D13="Medium",2,1))*6.67)</f>
        <v/>
      </c>
      <c r="K13" s="7">
        <f>IF(B13="","",IF(VLOOKUP(B13,$N$3:$R$14,5,FALSE)&lt;=2,1,1-((IF(AND($B$4="Executive Sponsor",OR($F$4="Committed",$F$4="Advocating")),0.3,0))+(IF(AND($B$5="Senior Leadership",OR($F$5="Committed",$F$5="Advocating")),0.2,0)))))</f>
        <v/>
      </c>
      <c r="L13" s="7">
        <f>IF(OR(J13="",K13=""),"",MAX(0,ROUND(J13*K13,0)))</f>
        <v/>
      </c>
      <c r="N13" s="9" t="inlineStr">
        <is>
          <t>Union Representative</t>
        </is>
      </c>
      <c r="O13" s="9" t="inlineStr">
        <is>
          <t>Medium</t>
        </is>
      </c>
      <c r="P13" s="9" t="inlineStr">
        <is>
          <t>High</t>
        </is>
      </c>
      <c r="Q13" s="9" t="inlineStr">
        <is>
          <t>Employee impacts, negotiation points, compliance</t>
        </is>
      </c>
      <c r="R13" s="9" t="n">
        <v>3</v>
      </c>
      <c r="T13" t="inlineStr"/>
      <c r="W13" s="13" t="inlineStr">
        <is>
          <t>5. Set Current &amp; Desired state</t>
        </is>
      </c>
    </row>
    <row r="14">
      <c r="A14" s="9" t="n"/>
      <c r="B14" s="9" t="n"/>
      <c r="C14" s="9" t="n"/>
      <c r="D14" s="7">
        <f>IF(B14="","",VLOOKUP(B14,$N$3:$R$14,2,FALSE))</f>
        <v/>
      </c>
      <c r="E14" s="7">
        <f>IF(B14="","",VLOOKUP(B14,$N$3:$R$14,3,FALSE))</f>
        <v/>
      </c>
      <c r="F14" s="7" t="n"/>
      <c r="G14" s="7" t="n"/>
      <c r="H14" s="7">
        <f>IF(B14="","",VLOOKUP(B14,$N$3:$R$14,4,FALSE))</f>
        <v/>
      </c>
      <c r="I14" s="7">
        <f>IF(OR(D14="",E14=""),"",IF(AND(D14="High",E14="High"),"Manage Closely",IF(AND(D14="High",E14="Medium"),"Keep Satisfied",IF(AND(D14="High",E14="Low"),"Keep Satisfied",IF(AND(D14="Medium",E14="High"),"Keep Informed",IF(AND(D14="Medium",E14="Medium"),"Keep Informed",IF(AND(D14="Medium",E14="Low"),"Monitor",IF(AND(D14="Low",E14="High"),"Keep Informed",IF(AND(D14="Low",E14="Medium"),"Monitor","Monitor")))))))))</f>
        <v/>
      </c>
      <c r="J14" s="7">
        <f>IF(OR(F14="",G14=""),"",(VLOOKUP(G14,$T$3:$U$8,2,FALSE)-VLOOKUP(F14,$T$3:$U$8,2,FALSE))*IF(D14="High",3,IF(D14="Medium",2,1))*6.67)</f>
        <v/>
      </c>
      <c r="K14" s="7">
        <f>IF(B14="","",IF(VLOOKUP(B14,$N$3:$R$14,5,FALSE)&lt;=2,1,1-((IF(AND($B$4="Executive Sponsor",OR($F$4="Committed",$F$4="Advocating")),0.3,0))+(IF(AND($B$5="Senior Leadership",OR($F$5="Committed",$F$5="Advocating")),0.2,0)))))</f>
        <v/>
      </c>
      <c r="L14" s="7">
        <f>IF(OR(J14="",K14=""),"",MAX(0,ROUND(J14*K14,0)))</f>
        <v/>
      </c>
      <c r="N14" s="9" t="inlineStr">
        <is>
          <t>Customer</t>
        </is>
      </c>
      <c r="O14" s="9" t="inlineStr">
        <is>
          <t>Low</t>
        </is>
      </c>
      <c r="P14" s="9" t="inlineStr">
        <is>
          <t>Medium</t>
        </is>
      </c>
      <c r="Q14" s="9" t="inlineStr">
        <is>
          <t>Service improvements, transition period, support</t>
        </is>
      </c>
      <c r="R14" s="9" t="n">
        <v>5</v>
      </c>
      <c r="T14" t="inlineStr">
        <is>
          <t>Cascade Factor:</t>
        </is>
      </c>
      <c r="W14" s="13" t="inlineStr">
        <is>
          <t>6. Risk auto-calculates</t>
        </is>
      </c>
    </row>
    <row r="15">
      <c r="A15" s="9" t="n"/>
      <c r="B15" s="9" t="n"/>
      <c r="C15" s="9" t="n"/>
      <c r="D15" s="7">
        <f>IF(B15="","",VLOOKUP(B15,$N$3:$R$14,2,FALSE))</f>
        <v/>
      </c>
      <c r="E15" s="7">
        <f>IF(B15="","",VLOOKUP(B15,$N$3:$R$14,3,FALSE))</f>
        <v/>
      </c>
      <c r="F15" s="7" t="n"/>
      <c r="G15" s="7" t="n"/>
      <c r="H15" s="7">
        <f>IF(B15="","",VLOOKUP(B15,$N$3:$R$14,4,FALSE))</f>
        <v/>
      </c>
      <c r="I15" s="7">
        <f>IF(OR(D15="",E15=""),"",IF(AND(D15="High",E15="High"),"Manage Closely",IF(AND(D15="High",E15="Medium"),"Keep Satisfied",IF(AND(D15="High",E15="Low"),"Keep Satisfied",IF(AND(D15="Medium",E15="High"),"Keep Informed",IF(AND(D15="Medium",E15="Medium"),"Keep Informed",IF(AND(D15="Medium",E15="Low"),"Monitor",IF(AND(D15="Low",E15="High"),"Keep Informed",IF(AND(D15="Low",E15="Medium"),"Monitor","Monitor")))))))))</f>
        <v/>
      </c>
      <c r="J15" s="7">
        <f>IF(OR(F15="",G15=""),"",(VLOOKUP(G15,$T$3:$U$8,2,FALSE)-VLOOKUP(F15,$T$3:$U$8,2,FALSE))*IF(D15="High",3,IF(D15="Medium",2,1))*6.67)</f>
        <v/>
      </c>
      <c r="K15" s="7">
        <f>IF(B15="","",IF(VLOOKUP(B15,$N$3:$R$14,5,FALSE)&lt;=2,1,1-((IF(AND($B$4="Executive Sponsor",OR($F$4="Committed",$F$4="Advocating")),0.3,0))+(IF(AND($B$5="Senior Leadership",OR($F$5="Committed",$F$5="Advocating")),0.2,0)))))</f>
        <v/>
      </c>
      <c r="L15" s="7">
        <f>IF(OR(J15="",K15=""),"",MAX(0,ROUND(J15*K15,0)))</f>
        <v/>
      </c>
      <c r="T15" t="inlineStr">
        <is>
          <t>If Exec Sponsor aligned: -30%</t>
        </is>
      </c>
    </row>
    <row r="16">
      <c r="A16" s="9" t="n"/>
      <c r="B16" s="9" t="n"/>
      <c r="C16" s="9" t="n"/>
      <c r="D16" s="7">
        <f>IF(B16="","",VLOOKUP(B16,$N$3:$R$14,2,FALSE))</f>
        <v/>
      </c>
      <c r="E16" s="7">
        <f>IF(B16="","",VLOOKUP(B16,$N$3:$R$14,3,FALSE))</f>
        <v/>
      </c>
      <c r="F16" s="7" t="n"/>
      <c r="G16" s="7" t="n"/>
      <c r="H16" s="7">
        <f>IF(B16="","",VLOOKUP(B16,$N$3:$R$14,4,FALSE))</f>
        <v/>
      </c>
      <c r="I16" s="7">
        <f>IF(OR(D16="",E16=""),"",IF(AND(D16="High",E16="High"),"Manage Closely",IF(AND(D16="High",E16="Medium"),"Keep Satisfied",IF(AND(D16="High",E16="Low"),"Keep Satisfied",IF(AND(D16="Medium",E16="High"),"Keep Informed",IF(AND(D16="Medium",E16="Medium"),"Keep Informed",IF(AND(D16="Medium",E16="Low"),"Monitor",IF(AND(D16="Low",E16="High"),"Keep Informed",IF(AND(D16="Low",E16="Medium"),"Monitor","Monitor")))))))))</f>
        <v/>
      </c>
      <c r="J16" s="7">
        <f>IF(OR(F16="",G16=""),"",(VLOOKUP(G16,$T$3:$U$8,2,FALSE)-VLOOKUP(F16,$T$3:$U$8,2,FALSE))*IF(D16="High",3,IF(D16="Medium",2,1))*6.67)</f>
        <v/>
      </c>
      <c r="K16" s="7">
        <f>IF(B16="","",IF(VLOOKUP(B16,$N$3:$R$14,5,FALSE)&lt;=2,1,1-((IF(AND($B$4="Executive Sponsor",OR($F$4="Committed",$F$4="Advocating")),0.3,0))+(IF(AND($B$5="Senior Leadership",OR($F$5="Committed",$F$5="Advocating")),0.2,0)))))</f>
        <v/>
      </c>
      <c r="L16" s="7">
        <f>IF(OR(J16="",K16=""),"",MAX(0,ROUND(J16*K16,0)))</f>
        <v/>
      </c>
      <c r="T16" t="inlineStr">
        <is>
          <t>If Sr Leadership aligned: -20%</t>
        </is>
      </c>
      <c r="W16" s="4" t="inlineStr">
        <is>
          <t>RISK CASCADE LOGIC</t>
        </is>
      </c>
    </row>
    <row r="17">
      <c r="A17" s="9" t="n"/>
      <c r="B17" s="9" t="n"/>
      <c r="C17" s="9" t="n"/>
      <c r="D17" s="7">
        <f>IF(B17="","",VLOOKUP(B17,$N$3:$R$14,2,FALSE))</f>
        <v/>
      </c>
      <c r="E17" s="7">
        <f>IF(B17="","",VLOOKUP(B17,$N$3:$R$14,3,FALSE))</f>
        <v/>
      </c>
      <c r="F17" s="7" t="n"/>
      <c r="G17" s="7" t="n"/>
      <c r="H17" s="7">
        <f>IF(B17="","",VLOOKUP(B17,$N$3:$R$14,4,FALSE))</f>
        <v/>
      </c>
      <c r="I17" s="7">
        <f>IF(OR(D17="",E17=""),"",IF(AND(D17="High",E17="High"),"Manage Closely",IF(AND(D17="High",E17="Medium"),"Keep Satisfied",IF(AND(D17="High",E17="Low"),"Keep Satisfied",IF(AND(D17="Medium",E17="High"),"Keep Informed",IF(AND(D17="Medium",E17="Medium"),"Keep Informed",IF(AND(D17="Medium",E17="Low"),"Monitor",IF(AND(D17="Low",E17="High"),"Keep Informed",IF(AND(D17="Low",E17="Medium"),"Monitor","Monitor")))))))))</f>
        <v/>
      </c>
      <c r="J17" s="7">
        <f>IF(OR(F17="",G17=""),"",(VLOOKUP(G17,$T$3:$U$8,2,FALSE)-VLOOKUP(F17,$T$3:$U$8,2,FALSE))*IF(D17="High",3,IF(D17="Medium",2,1))*6.67)</f>
        <v/>
      </c>
      <c r="K17" s="7">
        <f>IF(B17="","",IF(VLOOKUP(B17,$N$3:$R$14,5,FALSE)&lt;=2,1,1-((IF(AND($B$4="Executive Sponsor",OR($F$4="Committed",$F$4="Advocating")),0.3,0))+(IF(AND($B$5="Senior Leadership",OR($F$5="Committed",$F$5="Advocating")),0.2,0)))))</f>
        <v/>
      </c>
      <c r="L17" s="7">
        <f>IF(OR(J17="",K17=""),"",MAX(0,ROUND(J17*K17,0)))</f>
        <v/>
      </c>
      <c r="T17" t="inlineStr">
        <is>
          <t>(Max reduction: 50%)</t>
        </is>
      </c>
      <c r="W17" s="13" t="inlineStr">
        <is>
          <t>When top leadership is aligned</t>
        </is>
      </c>
    </row>
    <row r="18">
      <c r="A18" s="9" t="n"/>
      <c r="B18" s="9" t="n"/>
      <c r="C18" s="9" t="n"/>
      <c r="D18" s="7">
        <f>IF(B18="","",VLOOKUP(B18,$N$3:$R$14,2,FALSE))</f>
        <v/>
      </c>
      <c r="E18" s="7">
        <f>IF(B18="","",VLOOKUP(B18,$N$3:$R$14,3,FALSE))</f>
        <v/>
      </c>
      <c r="F18" s="7" t="n"/>
      <c r="G18" s="7" t="n"/>
      <c r="H18" s="7">
        <f>IF(B18="","",VLOOKUP(B18,$N$3:$R$14,4,FALSE))</f>
        <v/>
      </c>
      <c r="I18" s="7">
        <f>IF(OR(D18="",E18=""),"",IF(AND(D18="High",E18="High"),"Manage Closely",IF(AND(D18="High",E18="Medium"),"Keep Satisfied",IF(AND(D18="High",E18="Low"),"Keep Satisfied",IF(AND(D18="Medium",E18="High"),"Keep Informed",IF(AND(D18="Medium",E18="Medium"),"Keep Informed",IF(AND(D18="Medium",E18="Low"),"Monitor",IF(AND(D18="Low",E18="High"),"Keep Informed",IF(AND(D18="Low",E18="Medium"),"Monitor","Monitor")))))))))</f>
        <v/>
      </c>
      <c r="J18" s="7">
        <f>IF(OR(F18="",G18=""),"",(VLOOKUP(G18,$T$3:$U$8,2,FALSE)-VLOOKUP(F18,$T$3:$U$8,2,FALSE))*IF(D18="High",3,IF(D18="Medium",2,1))*6.67)</f>
        <v/>
      </c>
      <c r="K18" s="7">
        <f>IF(B18="","",IF(VLOOKUP(B18,$N$3:$R$14,5,FALSE)&lt;=2,1,1-((IF(AND($B$4="Executive Sponsor",OR($F$4="Committed",$F$4="Advocating")),0.3,0))+(IF(AND($B$5="Senior Leadership",OR($F$5="Committed",$F$5="Advocating")),0.2,0)))))</f>
        <v/>
      </c>
      <c r="L18" s="7">
        <f>IF(OR(J18="",K18=""),"",MAX(0,ROUND(J18*K18,0)))</f>
        <v/>
      </c>
      <c r="W18" s="13" t="inlineStr">
        <is>
          <t>(Committed/Advocating), risk</t>
        </is>
      </c>
    </row>
    <row r="19">
      <c r="A19" s="9" t="n"/>
      <c r="B19" s="9" t="n"/>
      <c r="C19" s="9" t="n"/>
      <c r="D19" s="7">
        <f>IF(B19="","",VLOOKUP(B19,$N$3:$R$14,2,FALSE))</f>
        <v/>
      </c>
      <c r="E19" s="7">
        <f>IF(B19="","",VLOOKUP(B19,$N$3:$R$14,3,FALSE))</f>
        <v/>
      </c>
      <c r="F19" s="7" t="n"/>
      <c r="G19" s="7" t="n"/>
      <c r="H19" s="7">
        <f>IF(B19="","",VLOOKUP(B19,$N$3:$R$14,4,FALSE))</f>
        <v/>
      </c>
      <c r="I19" s="7">
        <f>IF(OR(D19="",E19=""),"",IF(AND(D19="High",E19="High"),"Manage Closely",IF(AND(D19="High",E19="Medium"),"Keep Satisfied",IF(AND(D19="High",E19="Low"),"Keep Satisfied",IF(AND(D19="Medium",E19="High"),"Keep Informed",IF(AND(D19="Medium",E19="Medium"),"Keep Informed",IF(AND(D19="Medium",E19="Low"),"Monitor",IF(AND(D19="Low",E19="High"),"Keep Informed",IF(AND(D19="Low",E19="Medium"),"Monitor","Monitor")))))))))</f>
        <v/>
      </c>
      <c r="J19" s="7">
        <f>IF(OR(F19="",G19=""),"",(VLOOKUP(G19,$T$3:$U$8,2,FALSE)-VLOOKUP(F19,$T$3:$U$8,2,FALSE))*IF(D19="High",3,IF(D19="Medium",2,1))*6.67)</f>
        <v/>
      </c>
      <c r="K19" s="7">
        <f>IF(B19="","",IF(VLOOKUP(B19,$N$3:$R$14,5,FALSE)&lt;=2,1,1-((IF(AND($B$4="Executive Sponsor",OR($F$4="Committed",$F$4="Advocating")),0.3,0))+(IF(AND($B$5="Senior Leadership",OR($F$5="Committed",$F$5="Advocating")),0.2,0)))))</f>
        <v/>
      </c>
      <c r="L19" s="7">
        <f>IF(OR(J19="",K19=""),"",MAX(0,ROUND(J19*K19,0)))</f>
        <v/>
      </c>
      <c r="W19" s="13" t="inlineStr">
        <is>
          <t>for lower roles reduces:</t>
        </is>
      </c>
    </row>
    <row r="20">
      <c r="A20" s="9" t="n"/>
      <c r="B20" s="9" t="n"/>
      <c r="C20" s="9" t="n"/>
      <c r="D20" s="7">
        <f>IF(B20="","",VLOOKUP(B20,$N$3:$R$14,2,FALSE))</f>
        <v/>
      </c>
      <c r="E20" s="7">
        <f>IF(B20="","",VLOOKUP(B20,$N$3:$R$14,3,FALSE))</f>
        <v/>
      </c>
      <c r="F20" s="7" t="n"/>
      <c r="G20" s="7" t="n"/>
      <c r="H20" s="7">
        <f>IF(B20="","",VLOOKUP(B20,$N$3:$R$14,4,FALSE))</f>
        <v/>
      </c>
      <c r="I20" s="7">
        <f>IF(OR(D20="",E20=""),"",IF(AND(D20="High",E20="High"),"Manage Closely",IF(AND(D20="High",E20="Medium"),"Keep Satisfied",IF(AND(D20="High",E20="Low"),"Keep Satisfied",IF(AND(D20="Medium",E20="High"),"Keep Informed",IF(AND(D20="Medium",E20="Medium"),"Keep Informed",IF(AND(D20="Medium",E20="Low"),"Monitor",IF(AND(D20="Low",E20="High"),"Keep Informed",IF(AND(D20="Low",E20="Medium"),"Monitor","Monitor")))))))))</f>
        <v/>
      </c>
      <c r="J20" s="7">
        <f>IF(OR(F20="",G20=""),"",(VLOOKUP(G20,$T$3:$U$8,2,FALSE)-VLOOKUP(F20,$T$3:$U$8,2,FALSE))*IF(D20="High",3,IF(D20="Medium",2,1))*6.67)</f>
        <v/>
      </c>
      <c r="K20" s="7">
        <f>IF(B20="","",IF(VLOOKUP(B20,$N$3:$R$14,5,FALSE)&lt;=2,1,1-((IF(AND($B$4="Executive Sponsor",OR($F$4="Committed",$F$4="Advocating")),0.3,0))+(IF(AND($B$5="Senior Leadership",OR($F$5="Committed",$F$5="Advocating")),0.2,0)))))</f>
        <v/>
      </c>
      <c r="L20" s="7">
        <f>IF(OR(J20="",K20=""),"",MAX(0,ROUND(J20*K20,0)))</f>
        <v/>
      </c>
      <c r="W20" s="13" t="inlineStr"/>
    </row>
    <row r="21">
      <c r="A21" s="9" t="n"/>
      <c r="B21" s="9" t="n"/>
      <c r="C21" s="9" t="n"/>
      <c r="D21" s="7">
        <f>IF(B21="","",VLOOKUP(B21,$N$3:$R$14,2,FALSE))</f>
        <v/>
      </c>
      <c r="E21" s="7">
        <f>IF(B21="","",VLOOKUP(B21,$N$3:$R$14,3,FALSE))</f>
        <v/>
      </c>
      <c r="F21" s="7" t="n"/>
      <c r="G21" s="7" t="n"/>
      <c r="H21" s="7">
        <f>IF(B21="","",VLOOKUP(B21,$N$3:$R$14,4,FALSE))</f>
        <v/>
      </c>
      <c r="I21" s="7">
        <f>IF(OR(D21="",E21=""),"",IF(AND(D21="High",E21="High"),"Manage Closely",IF(AND(D21="High",E21="Medium"),"Keep Satisfied",IF(AND(D21="High",E21="Low"),"Keep Satisfied",IF(AND(D21="Medium",E21="High"),"Keep Informed",IF(AND(D21="Medium",E21="Medium"),"Keep Informed",IF(AND(D21="Medium",E21="Low"),"Monitor",IF(AND(D21="Low",E21="High"),"Keep Informed",IF(AND(D21="Low",E21="Medium"),"Monitor","Monitor")))))))))</f>
        <v/>
      </c>
      <c r="J21" s="7">
        <f>IF(OR(F21="",G21=""),"",(VLOOKUP(G21,$T$3:$U$8,2,FALSE)-VLOOKUP(F21,$T$3:$U$8,2,FALSE))*IF(D21="High",3,IF(D21="Medium",2,1))*6.67)</f>
        <v/>
      </c>
      <c r="K21" s="7">
        <f>IF(B21="","",IF(VLOOKUP(B21,$N$3:$R$14,5,FALSE)&lt;=2,1,1-((IF(AND($B$4="Executive Sponsor",OR($F$4="Committed",$F$4="Advocating")),0.3,0))+(IF(AND($B$5="Senior Leadership",OR($F$5="Committed",$F$5="Advocating")),0.2,0)))))</f>
        <v/>
      </c>
      <c r="L21" s="7">
        <f>IF(OR(J21="",K21=""),"",MAX(0,ROUND(J21*K21,0)))</f>
        <v/>
      </c>
      <c r="W21" s="13" t="inlineStr">
        <is>
          <t>Exec Sponsor aligned: -30%</t>
        </is>
      </c>
    </row>
    <row r="22">
      <c r="A22" s="9" t="n"/>
      <c r="B22" s="9" t="n"/>
      <c r="C22" s="9" t="n"/>
      <c r="D22" s="7">
        <f>IF(B22="","",VLOOKUP(B22,$N$3:$R$14,2,FALSE))</f>
        <v/>
      </c>
      <c r="E22" s="7">
        <f>IF(B22="","",VLOOKUP(B22,$N$3:$R$14,3,FALSE))</f>
        <v/>
      </c>
      <c r="F22" s="7" t="n"/>
      <c r="G22" s="7" t="n"/>
      <c r="H22" s="7">
        <f>IF(B22="","",VLOOKUP(B22,$N$3:$R$14,4,FALSE))</f>
        <v/>
      </c>
      <c r="I22" s="7">
        <f>IF(OR(D22="",E22=""),"",IF(AND(D22="High",E22="High"),"Manage Closely",IF(AND(D22="High",E22="Medium"),"Keep Satisfied",IF(AND(D22="High",E22="Low"),"Keep Satisfied",IF(AND(D22="Medium",E22="High"),"Keep Informed",IF(AND(D22="Medium",E22="Medium"),"Keep Informed",IF(AND(D22="Medium",E22="Low"),"Monitor",IF(AND(D22="Low",E22="High"),"Keep Informed",IF(AND(D22="Low",E22="Medium"),"Monitor","Monitor")))))))))</f>
        <v/>
      </c>
      <c r="J22" s="7">
        <f>IF(OR(F22="",G22=""),"",(VLOOKUP(G22,$T$3:$U$8,2,FALSE)-VLOOKUP(F22,$T$3:$U$8,2,FALSE))*IF(D22="High",3,IF(D22="Medium",2,1))*6.67)</f>
        <v/>
      </c>
      <c r="K22" s="7">
        <f>IF(B22="","",IF(VLOOKUP(B22,$N$3:$R$14,5,FALSE)&lt;=2,1,1-((IF(AND($B$4="Executive Sponsor",OR($F$4="Committed",$F$4="Advocating")),0.3,0))+(IF(AND($B$5="Senior Leadership",OR($F$5="Committed",$F$5="Advocating")),0.2,0)))))</f>
        <v/>
      </c>
      <c r="L22" s="7">
        <f>IF(OR(J22="",K22=""),"",MAX(0,ROUND(J22*K22,0)))</f>
        <v/>
      </c>
      <c r="W22" s="13" t="inlineStr">
        <is>
          <t>Sr Leadership aligned: -20%</t>
        </is>
      </c>
    </row>
    <row r="23">
      <c r="A23" s="9" t="n"/>
      <c r="B23" s="9" t="n"/>
      <c r="C23" s="9" t="n"/>
      <c r="D23" s="7">
        <f>IF(B23="","",VLOOKUP(B23,$N$3:$R$14,2,FALSE))</f>
        <v/>
      </c>
      <c r="E23" s="7">
        <f>IF(B23="","",VLOOKUP(B23,$N$3:$R$14,3,FALSE))</f>
        <v/>
      </c>
      <c r="F23" s="7" t="n"/>
      <c r="G23" s="7" t="n"/>
      <c r="H23" s="7">
        <f>IF(B23="","",VLOOKUP(B23,$N$3:$R$14,4,FALSE))</f>
        <v/>
      </c>
      <c r="I23" s="7">
        <f>IF(OR(D23="",E23=""),"",IF(AND(D23="High",E23="High"),"Manage Closely",IF(AND(D23="High",E23="Medium"),"Keep Satisfied",IF(AND(D23="High",E23="Low"),"Keep Satisfied",IF(AND(D23="Medium",E23="High"),"Keep Informed",IF(AND(D23="Medium",E23="Medium"),"Keep Informed",IF(AND(D23="Medium",E23="Low"),"Monitor",IF(AND(D23="Low",E23="High"),"Keep Informed",IF(AND(D23="Low",E23="Medium"),"Monitor","Monitor")))))))))</f>
        <v/>
      </c>
      <c r="J23" s="7">
        <f>IF(OR(F23="",G23=""),"",(VLOOKUP(G23,$T$3:$U$8,2,FALSE)-VLOOKUP(F23,$T$3:$U$8,2,FALSE))*IF(D23="High",3,IF(D23="Medium",2,1))*6.67)</f>
        <v/>
      </c>
      <c r="K23" s="7">
        <f>IF(B23="","",IF(VLOOKUP(B23,$N$3:$R$14,5,FALSE)&lt;=2,1,1-((IF(AND($B$4="Executive Sponsor",OR($F$4="Committed",$F$4="Advocating")),0.3,0))+(IF(AND($B$5="Senior Leadership",OR($F$5="Committed",$F$5="Advocating")),0.2,0)))))</f>
        <v/>
      </c>
      <c r="L23" s="7">
        <f>IF(OR(J23="",K23=""),"",MAX(0,ROUND(J23*K23,0)))</f>
        <v/>
      </c>
      <c r="W23" s="13" t="inlineStr"/>
    </row>
    <row r="24">
      <c r="A24" s="9" t="n"/>
      <c r="B24" s="9" t="n"/>
      <c r="C24" s="9" t="n"/>
      <c r="D24" s="7">
        <f>IF(B24="","",VLOOKUP(B24,$N$3:$R$14,2,FALSE))</f>
        <v/>
      </c>
      <c r="E24" s="7">
        <f>IF(B24="","",VLOOKUP(B24,$N$3:$R$14,3,FALSE))</f>
        <v/>
      </c>
      <c r="F24" s="7" t="n"/>
      <c r="G24" s="7" t="n"/>
      <c r="H24" s="7">
        <f>IF(B24="","",VLOOKUP(B24,$N$3:$R$14,4,FALSE))</f>
        <v/>
      </c>
      <c r="I24" s="7">
        <f>IF(OR(D24="",E24=""),"",IF(AND(D24="High",E24="High"),"Manage Closely",IF(AND(D24="High",E24="Medium"),"Keep Satisfied",IF(AND(D24="High",E24="Low"),"Keep Satisfied",IF(AND(D24="Medium",E24="High"),"Keep Informed",IF(AND(D24="Medium",E24="Medium"),"Keep Informed",IF(AND(D24="Medium",E24="Low"),"Monitor",IF(AND(D24="Low",E24="High"),"Keep Informed",IF(AND(D24="Low",E24="Medium"),"Monitor","Monitor")))))))))</f>
        <v/>
      </c>
      <c r="J24" s="7">
        <f>IF(OR(F24="",G24=""),"",(VLOOKUP(G24,$T$3:$U$8,2,FALSE)-VLOOKUP(F24,$T$3:$U$8,2,FALSE))*IF(D24="High",3,IF(D24="Medium",2,1))*6.67)</f>
        <v/>
      </c>
      <c r="K24" s="7">
        <f>IF(B24="","",IF(VLOOKUP(B24,$N$3:$R$14,5,FALSE)&lt;=2,1,1-((IF(AND($B$4="Executive Sponsor",OR($F$4="Committed",$F$4="Advocating")),0.3,0))+(IF(AND($B$5="Senior Leadership",OR($F$5="Committed",$F$5="Advocating")),0.2,0)))))</f>
        <v/>
      </c>
      <c r="L24" s="7">
        <f>IF(OR(J24="",K24=""),"",MAX(0,ROUND(J24*K24,0)))</f>
        <v/>
      </c>
      <c r="W24" s="13" t="inlineStr">
        <is>
          <t>Max cascade reduction: 50%</t>
        </is>
      </c>
    </row>
    <row r="25">
      <c r="A25" s="9" t="n"/>
      <c r="B25" s="9" t="n"/>
      <c r="C25" s="9" t="n"/>
      <c r="D25" s="7">
        <f>IF(B25="","",VLOOKUP(B25,$N$3:$R$14,2,FALSE))</f>
        <v/>
      </c>
      <c r="E25" s="7">
        <f>IF(B25="","",VLOOKUP(B25,$N$3:$R$14,3,FALSE))</f>
        <v/>
      </c>
      <c r="F25" s="7" t="n"/>
      <c r="G25" s="7" t="n"/>
      <c r="H25" s="7">
        <f>IF(B25="","",VLOOKUP(B25,$N$3:$R$14,4,FALSE))</f>
        <v/>
      </c>
      <c r="I25" s="7">
        <f>IF(OR(D25="",E25=""),"",IF(AND(D25="High",E25="High"),"Manage Closely",IF(AND(D25="High",E25="Medium"),"Keep Satisfied",IF(AND(D25="High",E25="Low"),"Keep Satisfied",IF(AND(D25="Medium",E25="High"),"Keep Informed",IF(AND(D25="Medium",E25="Medium"),"Keep Informed",IF(AND(D25="Medium",E25="Low"),"Monitor",IF(AND(D25="Low",E25="High"),"Keep Informed",IF(AND(D25="Low",E25="Medium"),"Monitor","Monitor")))))))))</f>
        <v/>
      </c>
      <c r="J25" s="7">
        <f>IF(OR(F25="",G25=""),"",(VLOOKUP(G25,$T$3:$U$8,2,FALSE)-VLOOKUP(F25,$T$3:$U$8,2,FALSE))*IF(D25="High",3,IF(D25="Medium",2,1))*6.67)</f>
        <v/>
      </c>
      <c r="K25" s="7">
        <f>IF(B25="","",IF(VLOOKUP(B25,$N$3:$R$14,5,FALSE)&lt;=2,1,1-((IF(AND($B$4="Executive Sponsor",OR($F$4="Committed",$F$4="Advocating")),0.3,0))+(IF(AND($B$5="Senior Leadership",OR($F$5="Committed",$F$5="Advocating")),0.2,0)))))</f>
        <v/>
      </c>
      <c r="L25" s="7">
        <f>IF(OR(J25="",K25=""),"",MAX(0,ROUND(J25*K25,0)))</f>
        <v/>
      </c>
    </row>
    <row r="26">
      <c r="A26" s="9" t="n"/>
      <c r="B26" s="9" t="n"/>
      <c r="C26" s="9" t="n"/>
      <c r="D26" s="7">
        <f>IF(B26="","",VLOOKUP(B26,$N$3:$R$14,2,FALSE))</f>
        <v/>
      </c>
      <c r="E26" s="7">
        <f>IF(B26="","",VLOOKUP(B26,$N$3:$R$14,3,FALSE))</f>
        <v/>
      </c>
      <c r="F26" s="7" t="n"/>
      <c r="G26" s="7" t="n"/>
      <c r="H26" s="7">
        <f>IF(B26="","",VLOOKUP(B26,$N$3:$R$14,4,FALSE))</f>
        <v/>
      </c>
      <c r="I26" s="7">
        <f>IF(OR(D26="",E26=""),"",IF(AND(D26="High",E26="High"),"Manage Closely",IF(AND(D26="High",E26="Medium"),"Keep Satisfied",IF(AND(D26="High",E26="Low"),"Keep Satisfied",IF(AND(D26="Medium",E26="High"),"Keep Informed",IF(AND(D26="Medium",E26="Medium"),"Keep Informed",IF(AND(D26="Medium",E26="Low"),"Monitor",IF(AND(D26="Low",E26="High"),"Keep Informed",IF(AND(D26="Low",E26="Medium"),"Monitor","Monitor")))))))))</f>
        <v/>
      </c>
      <c r="J26" s="7">
        <f>IF(OR(F26="",G26=""),"",(VLOOKUP(G26,$T$3:$U$8,2,FALSE)-VLOOKUP(F26,$T$3:$U$8,2,FALSE))*IF(D26="High",3,IF(D26="Medium",2,1))*6.67)</f>
        <v/>
      </c>
      <c r="K26" s="7">
        <f>IF(B26="","",IF(VLOOKUP(B26,$N$3:$R$14,5,FALSE)&lt;=2,1,1-((IF(AND($B$4="Executive Sponsor",OR($F$4="Committed",$F$4="Advocating")),0.3,0))+(IF(AND($B$5="Senior Leadership",OR($F$5="Committed",$F$5="Advocating")),0.2,0)))))</f>
        <v/>
      </c>
      <c r="L26" s="7">
        <f>IF(OR(J26="",K26=""),"",MAX(0,ROUND(J26*K26,0)))</f>
        <v/>
      </c>
      <c r="W26" s="4" t="inlineStr">
        <is>
          <t>STATE PROGRESSION</t>
        </is>
      </c>
    </row>
    <row r="27">
      <c r="A27" s="9" t="n"/>
      <c r="B27" s="9" t="n"/>
      <c r="C27" s="9" t="n"/>
      <c r="D27" s="7">
        <f>IF(B27="","",VLOOKUP(B27,$N$3:$R$14,2,FALSE))</f>
        <v/>
      </c>
      <c r="E27" s="7">
        <f>IF(B27="","",VLOOKUP(B27,$N$3:$R$14,3,FALSE))</f>
        <v/>
      </c>
      <c r="F27" s="7" t="n"/>
      <c r="G27" s="7" t="n"/>
      <c r="H27" s="7">
        <f>IF(B27="","",VLOOKUP(B27,$N$3:$R$14,4,FALSE))</f>
        <v/>
      </c>
      <c r="I27" s="7">
        <f>IF(OR(D27="",E27=""),"",IF(AND(D27="High",E27="High"),"Manage Closely",IF(AND(D27="High",E27="Medium"),"Keep Satisfied",IF(AND(D27="High",E27="Low"),"Keep Satisfied",IF(AND(D27="Medium",E27="High"),"Keep Informed",IF(AND(D27="Medium",E27="Medium"),"Keep Informed",IF(AND(D27="Medium",E27="Low"),"Monitor",IF(AND(D27="Low",E27="High"),"Keep Informed",IF(AND(D27="Low",E27="Medium"),"Monitor","Monitor")))))))))</f>
        <v/>
      </c>
      <c r="J27" s="7">
        <f>IF(OR(F27="",G27=""),"",(VLOOKUP(G27,$T$3:$U$8,2,FALSE)-VLOOKUP(F27,$T$3:$U$8,2,FALSE))*IF(D27="High",3,IF(D27="Medium",2,1))*6.67)</f>
        <v/>
      </c>
      <c r="K27" s="7">
        <f>IF(B27="","",IF(VLOOKUP(B27,$N$3:$R$14,5,FALSE)&lt;=2,1,1-((IF(AND($B$4="Executive Sponsor",OR($F$4="Committed",$F$4="Advocating")),0.3,0))+(IF(AND($B$5="Senior Leadership",OR($F$5="Committed",$F$5="Advocating")),0.2,0)))))</f>
        <v/>
      </c>
      <c r="L27" s="7">
        <f>IF(OR(J27="",K27=""),"",MAX(0,ROUND(J27*K27,0)))</f>
        <v/>
      </c>
      <c r="W27" s="13" t="inlineStr">
        <is>
          <t>Unaware -&gt; Advocating</t>
        </is>
      </c>
    </row>
    <row r="28">
      <c r="A28" s="9" t="n"/>
      <c r="B28" s="9" t="n"/>
      <c r="C28" s="9" t="n"/>
      <c r="D28" s="7">
        <f>IF(B28="","",VLOOKUP(B28,$N$3:$R$14,2,FALSE))</f>
        <v/>
      </c>
      <c r="E28" s="7">
        <f>IF(B28="","",VLOOKUP(B28,$N$3:$R$14,3,FALSE))</f>
        <v/>
      </c>
      <c r="F28" s="7" t="n"/>
      <c r="G28" s="7" t="n"/>
      <c r="H28" s="7">
        <f>IF(B28="","",VLOOKUP(B28,$N$3:$R$14,4,FALSE))</f>
        <v/>
      </c>
      <c r="I28" s="7">
        <f>IF(OR(D28="",E28=""),"",IF(AND(D28="High",E28="High"),"Manage Closely",IF(AND(D28="High",E28="Medium"),"Keep Satisfied",IF(AND(D28="High",E28="Low"),"Keep Satisfied",IF(AND(D28="Medium",E28="High"),"Keep Informed",IF(AND(D28="Medium",E28="Medium"),"Keep Informed",IF(AND(D28="Medium",E28="Low"),"Monitor",IF(AND(D28="Low",E28="High"),"Keep Informed",IF(AND(D28="Low",E28="Medium"),"Monitor","Monitor")))))))))</f>
        <v/>
      </c>
      <c r="J28" s="7">
        <f>IF(OR(F28="",G28=""),"",(VLOOKUP(G28,$T$3:$U$8,2,FALSE)-VLOOKUP(F28,$T$3:$U$8,2,FALSE))*IF(D28="High",3,IF(D28="Medium",2,1))*6.67)</f>
        <v/>
      </c>
      <c r="K28" s="7">
        <f>IF(B28="","",IF(VLOOKUP(B28,$N$3:$R$14,5,FALSE)&lt;=2,1,1-((IF(AND($B$4="Executive Sponsor",OR($F$4="Committed",$F$4="Advocating")),0.3,0))+(IF(AND($B$5="Senior Leadership",OR($F$5="Committed",$F$5="Advocating")),0.2,0)))))</f>
        <v/>
      </c>
      <c r="L28" s="7">
        <f>IF(OR(J28="",K28=""),"",MAX(0,ROUND(J28*K28,0)))</f>
        <v/>
      </c>
      <c r="W28" s="13" t="inlineStr">
        <is>
          <t>Gap drives base risk score</t>
        </is>
      </c>
    </row>
    <row r="29">
      <c r="A29" s="9" t="n"/>
      <c r="B29" s="9" t="n"/>
      <c r="C29" s="9" t="n"/>
      <c r="D29" s="7">
        <f>IF(B29="","",VLOOKUP(B29,$N$3:$R$14,2,FALSE))</f>
        <v/>
      </c>
      <c r="E29" s="7">
        <f>IF(B29="","",VLOOKUP(B29,$N$3:$R$14,3,FALSE))</f>
        <v/>
      </c>
      <c r="F29" s="7" t="n"/>
      <c r="G29" s="7" t="n"/>
      <c r="H29" s="7">
        <f>IF(B29="","",VLOOKUP(B29,$N$3:$R$14,4,FALSE))</f>
        <v/>
      </c>
      <c r="I29" s="7">
        <f>IF(OR(D29="",E29=""),"",IF(AND(D29="High",E29="High"),"Manage Closely",IF(AND(D29="High",E29="Medium"),"Keep Satisfied",IF(AND(D29="High",E29="Low"),"Keep Satisfied",IF(AND(D29="Medium",E29="High"),"Keep Informed",IF(AND(D29="Medium",E29="Medium"),"Keep Informed",IF(AND(D29="Medium",E29="Low"),"Monitor",IF(AND(D29="Low",E29="High"),"Keep Informed",IF(AND(D29="Low",E29="Medium"),"Monitor","Monitor")))))))))</f>
        <v/>
      </c>
      <c r="J29" s="7">
        <f>IF(OR(F29="",G29=""),"",(VLOOKUP(G29,$T$3:$U$8,2,FALSE)-VLOOKUP(F29,$T$3:$U$8,2,FALSE))*IF(D29="High",3,IF(D29="Medium",2,1))*6.67)</f>
        <v/>
      </c>
      <c r="K29" s="7">
        <f>IF(B29="","",IF(VLOOKUP(B29,$N$3:$R$14,5,FALSE)&lt;=2,1,1-((IF(AND($B$4="Executive Sponsor",OR($F$4="Committed",$F$4="Advocating")),0.3,0))+(IF(AND($B$5="Senior Leadership",OR($F$5="Committed",$F$5="Advocating")),0.2,0)))))</f>
        <v/>
      </c>
      <c r="L29" s="7">
        <f>IF(OR(J29="",K29=""),"",MAX(0,ROUND(J29*K29,0)))</f>
        <v/>
      </c>
    </row>
    <row r="30">
      <c r="A30" s="9" t="n"/>
      <c r="B30" s="9" t="n"/>
      <c r="C30" s="9" t="n"/>
      <c r="D30" s="7">
        <f>IF(B30="","",VLOOKUP(B30,$N$3:$R$14,2,FALSE))</f>
        <v/>
      </c>
      <c r="E30" s="7">
        <f>IF(B30="","",VLOOKUP(B30,$N$3:$R$14,3,FALSE))</f>
        <v/>
      </c>
      <c r="F30" s="7" t="n"/>
      <c r="G30" s="7" t="n"/>
      <c r="H30" s="7">
        <f>IF(B30="","",VLOOKUP(B30,$N$3:$R$14,4,FALSE))</f>
        <v/>
      </c>
      <c r="I30" s="7">
        <f>IF(OR(D30="",E30=""),"",IF(AND(D30="High",E30="High"),"Manage Closely",IF(AND(D30="High",E30="Medium"),"Keep Satisfied",IF(AND(D30="High",E30="Low"),"Keep Satisfied",IF(AND(D30="Medium",E30="High"),"Keep Informed",IF(AND(D30="Medium",E30="Medium"),"Keep Informed",IF(AND(D30="Medium",E30="Low"),"Monitor",IF(AND(D30="Low",E30="High"),"Keep Informed",IF(AND(D30="Low",E30="Medium"),"Monitor","Monitor")))))))))</f>
        <v/>
      </c>
      <c r="J30" s="7">
        <f>IF(OR(F30="",G30=""),"",(VLOOKUP(G30,$T$3:$U$8,2,FALSE)-VLOOKUP(F30,$T$3:$U$8,2,FALSE))*IF(D30="High",3,IF(D30="Medium",2,1))*6.67)</f>
        <v/>
      </c>
      <c r="K30" s="7">
        <f>IF(B30="","",IF(VLOOKUP(B30,$N$3:$R$14,5,FALSE)&lt;=2,1,1-((IF(AND($B$4="Executive Sponsor",OR($F$4="Committed",$F$4="Advocating")),0.3,0))+(IF(AND($B$5="Senior Leadership",OR($F$5="Committed",$F$5="Advocating")),0.2,0)))))</f>
        <v/>
      </c>
      <c r="L30" s="7">
        <f>IF(OR(J30="",K30=""),"",MAX(0,ROUND(J30*K30,0)))</f>
        <v/>
      </c>
      <c r="W30" s="4" t="inlineStr">
        <is>
          <t>STRATEGY GRID</t>
        </is>
      </c>
    </row>
    <row r="31">
      <c r="A31" s="9" t="n"/>
      <c r="B31" s="9" t="n"/>
      <c r="C31" s="9" t="n"/>
      <c r="D31" s="7">
        <f>IF(B31="","",VLOOKUP(B31,$N$3:$R$14,2,FALSE))</f>
        <v/>
      </c>
      <c r="E31" s="7">
        <f>IF(B31="","",VLOOKUP(B31,$N$3:$R$14,3,FALSE))</f>
        <v/>
      </c>
      <c r="F31" s="7" t="n"/>
      <c r="G31" s="7" t="n"/>
      <c r="H31" s="7">
        <f>IF(B31="","",VLOOKUP(B31,$N$3:$R$14,4,FALSE))</f>
        <v/>
      </c>
      <c r="I31" s="7">
        <f>IF(OR(D31="",E31=""),"",IF(AND(D31="High",E31="High"),"Manage Closely",IF(AND(D31="High",E31="Medium"),"Keep Satisfied",IF(AND(D31="High",E31="Low"),"Keep Satisfied",IF(AND(D31="Medium",E31="High"),"Keep Informed",IF(AND(D31="Medium",E31="Medium"),"Keep Informed",IF(AND(D31="Medium",E31="Low"),"Monitor",IF(AND(D31="Low",E31="High"),"Keep Informed",IF(AND(D31="Low",E31="Medium"),"Monitor","Monitor")))))))))</f>
        <v/>
      </c>
      <c r="J31" s="7">
        <f>IF(OR(F31="",G31=""),"",(VLOOKUP(G31,$T$3:$U$8,2,FALSE)-VLOOKUP(F31,$T$3:$U$8,2,FALSE))*IF(D31="High",3,IF(D31="Medium",2,1))*6.67)</f>
        <v/>
      </c>
      <c r="K31" s="7">
        <f>IF(B31="","",IF(VLOOKUP(B31,$N$3:$R$14,5,FALSE)&lt;=2,1,1-((IF(AND($B$4="Executive Sponsor",OR($F$4="Committed",$F$4="Advocating")),0.3,0))+(IF(AND($B$5="Senior Leadership",OR($F$5="Committed",$F$5="Advocating")),0.2,0)))))</f>
        <v/>
      </c>
      <c r="L31" s="7">
        <f>IF(OR(J31="",K31=""),"",MAX(0,ROUND(J31*K31,0)))</f>
        <v/>
      </c>
      <c r="W31" s="13" t="inlineStr">
        <is>
          <t>High Power/High Interest:</t>
        </is>
      </c>
    </row>
    <row r="32">
      <c r="A32" s="9" t="n"/>
      <c r="B32" s="9" t="n"/>
      <c r="C32" s="9" t="n"/>
      <c r="D32" s="7">
        <f>IF(B32="","",VLOOKUP(B32,$N$3:$R$14,2,FALSE))</f>
        <v/>
      </c>
      <c r="E32" s="7">
        <f>IF(B32="","",VLOOKUP(B32,$N$3:$R$14,3,FALSE))</f>
        <v/>
      </c>
      <c r="F32" s="7" t="n"/>
      <c r="G32" s="7" t="n"/>
      <c r="H32" s="7">
        <f>IF(B32="","",VLOOKUP(B32,$N$3:$R$14,4,FALSE))</f>
        <v/>
      </c>
      <c r="I32" s="7">
        <f>IF(OR(D32="",E32=""),"",IF(AND(D32="High",E32="High"),"Manage Closely",IF(AND(D32="High",E32="Medium"),"Keep Satisfied",IF(AND(D32="High",E32="Low"),"Keep Satisfied",IF(AND(D32="Medium",E32="High"),"Keep Informed",IF(AND(D32="Medium",E32="Medium"),"Keep Informed",IF(AND(D32="Medium",E32="Low"),"Monitor",IF(AND(D32="Low",E32="High"),"Keep Informed",IF(AND(D32="Low",E32="Medium"),"Monitor","Monitor")))))))))</f>
        <v/>
      </c>
      <c r="J32" s="7">
        <f>IF(OR(F32="",G32=""),"",(VLOOKUP(G32,$T$3:$U$8,2,FALSE)-VLOOKUP(F32,$T$3:$U$8,2,FALSE))*IF(D32="High",3,IF(D32="Medium",2,1))*6.67)</f>
        <v/>
      </c>
      <c r="K32" s="7">
        <f>IF(B32="","",IF(VLOOKUP(B32,$N$3:$R$14,5,FALSE)&lt;=2,1,1-((IF(AND($B$4="Executive Sponsor",OR($F$4="Committed",$F$4="Advocating")),0.3,0))+(IF(AND($B$5="Senior Leadership",OR($F$5="Committed",$F$5="Advocating")),0.2,0)))))</f>
        <v/>
      </c>
      <c r="L32" s="7">
        <f>IF(OR(J32="",K32=""),"",MAX(0,ROUND(J32*K32,0)))</f>
        <v/>
      </c>
      <c r="W32" s="13" t="inlineStr">
        <is>
          <t xml:space="preserve">  -&gt; Manage Closely</t>
        </is>
      </c>
    </row>
    <row r="33">
      <c r="A33" s="9" t="n"/>
      <c r="B33" s="9" t="n"/>
      <c r="C33" s="9" t="n"/>
      <c r="D33" s="7">
        <f>IF(B33="","",VLOOKUP(B33,$N$3:$R$14,2,FALSE))</f>
        <v/>
      </c>
      <c r="E33" s="7">
        <f>IF(B33="","",VLOOKUP(B33,$N$3:$R$14,3,FALSE))</f>
        <v/>
      </c>
      <c r="F33" s="7" t="n"/>
      <c r="G33" s="7" t="n"/>
      <c r="H33" s="7">
        <f>IF(B33="","",VLOOKUP(B33,$N$3:$R$14,4,FALSE))</f>
        <v/>
      </c>
      <c r="I33" s="7">
        <f>IF(OR(D33="",E33=""),"",IF(AND(D33="High",E33="High"),"Manage Closely",IF(AND(D33="High",E33="Medium"),"Keep Satisfied",IF(AND(D33="High",E33="Low"),"Keep Satisfied",IF(AND(D33="Medium",E33="High"),"Keep Informed",IF(AND(D33="Medium",E33="Medium"),"Keep Informed",IF(AND(D33="Medium",E33="Low"),"Monitor",IF(AND(D33="Low",E33="High"),"Keep Informed",IF(AND(D33="Low",E33="Medium"),"Monitor","Monitor")))))))))</f>
        <v/>
      </c>
      <c r="J33" s="7">
        <f>IF(OR(F33="",G33=""),"",(VLOOKUP(G33,$T$3:$U$8,2,FALSE)-VLOOKUP(F33,$T$3:$U$8,2,FALSE))*IF(D33="High",3,IF(D33="Medium",2,1))*6.67)</f>
        <v/>
      </c>
      <c r="K33" s="7">
        <f>IF(B33="","",IF(VLOOKUP(B33,$N$3:$R$14,5,FALSE)&lt;=2,1,1-((IF(AND($B$4="Executive Sponsor",OR($F$4="Committed",$F$4="Advocating")),0.3,0))+(IF(AND($B$5="Senior Leadership",OR($F$5="Committed",$F$5="Advocating")),0.2,0)))))</f>
        <v/>
      </c>
      <c r="L33" s="7">
        <f>IF(OR(J33="",K33=""),"",MAX(0,ROUND(J33*K33,0)))</f>
        <v/>
      </c>
      <c r="W33" s="13" t="inlineStr">
        <is>
          <t>High Power/Low Interest:</t>
        </is>
      </c>
    </row>
    <row r="34">
      <c r="A34" s="9" t="n"/>
      <c r="B34" s="9" t="n"/>
      <c r="C34" s="9" t="n"/>
      <c r="D34" s="7">
        <f>IF(B34="","",VLOOKUP(B34,$N$3:$R$14,2,FALSE))</f>
        <v/>
      </c>
      <c r="E34" s="7">
        <f>IF(B34="","",VLOOKUP(B34,$N$3:$R$14,3,FALSE))</f>
        <v/>
      </c>
      <c r="F34" s="7" t="n"/>
      <c r="G34" s="7" t="n"/>
      <c r="H34" s="7">
        <f>IF(B34="","",VLOOKUP(B34,$N$3:$R$14,4,FALSE))</f>
        <v/>
      </c>
      <c r="I34" s="7">
        <f>IF(OR(D34="",E34=""),"",IF(AND(D34="High",E34="High"),"Manage Closely",IF(AND(D34="High",E34="Medium"),"Keep Satisfied",IF(AND(D34="High",E34="Low"),"Keep Satisfied",IF(AND(D34="Medium",E34="High"),"Keep Informed",IF(AND(D34="Medium",E34="Medium"),"Keep Informed",IF(AND(D34="Medium",E34="Low"),"Monitor",IF(AND(D34="Low",E34="High"),"Keep Informed",IF(AND(D34="Low",E34="Medium"),"Monitor","Monitor")))))))))</f>
        <v/>
      </c>
      <c r="J34" s="7">
        <f>IF(OR(F34="",G34=""),"",(VLOOKUP(G34,$T$3:$U$8,2,FALSE)-VLOOKUP(F34,$T$3:$U$8,2,FALSE))*IF(D34="High",3,IF(D34="Medium",2,1))*6.67)</f>
        <v/>
      </c>
      <c r="K34" s="7">
        <f>IF(B34="","",IF(VLOOKUP(B34,$N$3:$R$14,5,FALSE)&lt;=2,1,1-((IF(AND($B$4="Executive Sponsor",OR($F$4="Committed",$F$4="Advocating")),0.3,0))+(IF(AND($B$5="Senior Leadership",OR($F$5="Committed",$F$5="Advocating")),0.2,0)))))</f>
        <v/>
      </c>
      <c r="L34" s="7">
        <f>IF(OR(J34="",K34=""),"",MAX(0,ROUND(J34*K34,0)))</f>
        <v/>
      </c>
      <c r="W34" s="13" t="inlineStr">
        <is>
          <t xml:space="preserve">  -&gt; Keep Satisfied</t>
        </is>
      </c>
    </row>
    <row r="35">
      <c r="A35" s="9" t="n"/>
      <c r="B35" s="9" t="n"/>
      <c r="C35" s="9" t="n"/>
      <c r="D35" s="7">
        <f>IF(B35="","",VLOOKUP(B35,$N$3:$R$14,2,FALSE))</f>
        <v/>
      </c>
      <c r="E35" s="7">
        <f>IF(B35="","",VLOOKUP(B35,$N$3:$R$14,3,FALSE))</f>
        <v/>
      </c>
      <c r="F35" s="7" t="n"/>
      <c r="G35" s="7" t="n"/>
      <c r="H35" s="7">
        <f>IF(B35="","",VLOOKUP(B35,$N$3:$R$14,4,FALSE))</f>
        <v/>
      </c>
      <c r="I35" s="7">
        <f>IF(OR(D35="",E35=""),"",IF(AND(D35="High",E35="High"),"Manage Closely",IF(AND(D35="High",E35="Medium"),"Keep Satisfied",IF(AND(D35="High",E35="Low"),"Keep Satisfied",IF(AND(D35="Medium",E35="High"),"Keep Informed",IF(AND(D35="Medium",E35="Medium"),"Keep Informed",IF(AND(D35="Medium",E35="Low"),"Monitor",IF(AND(D35="Low",E35="High"),"Keep Informed",IF(AND(D35="Low",E35="Medium"),"Monitor","Monitor")))))))))</f>
        <v/>
      </c>
      <c r="J35" s="7">
        <f>IF(OR(F35="",G35=""),"",(VLOOKUP(G35,$T$3:$U$8,2,FALSE)-VLOOKUP(F35,$T$3:$U$8,2,FALSE))*IF(D35="High",3,IF(D35="Medium",2,1))*6.67)</f>
        <v/>
      </c>
      <c r="K35" s="7">
        <f>IF(B35="","",IF(VLOOKUP(B35,$N$3:$R$14,5,FALSE)&lt;=2,1,1-((IF(AND($B$4="Executive Sponsor",OR($F$4="Committed",$F$4="Advocating")),0.3,0))+(IF(AND($B$5="Senior Leadership",OR($F$5="Committed",$F$5="Advocating")),0.2,0)))))</f>
        <v/>
      </c>
      <c r="L35" s="7">
        <f>IF(OR(J35="",K35=""),"",MAX(0,ROUND(J35*K35,0)))</f>
        <v/>
      </c>
      <c r="W35" s="13" t="inlineStr">
        <is>
          <t>Low Power/High Interest:</t>
        </is>
      </c>
    </row>
    <row r="36">
      <c r="A36" s="9" t="n"/>
      <c r="B36" s="9" t="n"/>
      <c r="C36" s="9" t="n"/>
      <c r="D36" s="7">
        <f>IF(B36="","",VLOOKUP(B36,$N$3:$R$14,2,FALSE))</f>
        <v/>
      </c>
      <c r="E36" s="7">
        <f>IF(B36="","",VLOOKUP(B36,$N$3:$R$14,3,FALSE))</f>
        <v/>
      </c>
      <c r="F36" s="7" t="n"/>
      <c r="G36" s="7" t="n"/>
      <c r="H36" s="7">
        <f>IF(B36="","",VLOOKUP(B36,$N$3:$R$14,4,FALSE))</f>
        <v/>
      </c>
      <c r="I36" s="7">
        <f>IF(OR(D36="",E36=""),"",IF(AND(D36="High",E36="High"),"Manage Closely",IF(AND(D36="High",E36="Medium"),"Keep Satisfied",IF(AND(D36="High",E36="Low"),"Keep Satisfied",IF(AND(D36="Medium",E36="High"),"Keep Informed",IF(AND(D36="Medium",E36="Medium"),"Keep Informed",IF(AND(D36="Medium",E36="Low"),"Monitor",IF(AND(D36="Low",E36="High"),"Keep Informed",IF(AND(D36="Low",E36="Medium"),"Monitor","Monitor")))))))))</f>
        <v/>
      </c>
      <c r="J36" s="7">
        <f>IF(OR(F36="",G36=""),"",(VLOOKUP(G36,$T$3:$U$8,2,FALSE)-VLOOKUP(F36,$T$3:$U$8,2,FALSE))*IF(D36="High",3,IF(D36="Medium",2,1))*6.67)</f>
        <v/>
      </c>
      <c r="K36" s="7">
        <f>IF(B36="","",IF(VLOOKUP(B36,$N$3:$R$14,5,FALSE)&lt;=2,1,1-((IF(AND($B$4="Executive Sponsor",OR($F$4="Committed",$F$4="Advocating")),0.3,0))+(IF(AND($B$5="Senior Leadership",OR($F$5="Committed",$F$5="Advocating")),0.2,0)))))</f>
        <v/>
      </c>
      <c r="L36" s="7">
        <f>IF(OR(J36="",K36=""),"",MAX(0,ROUND(J36*K36,0)))</f>
        <v/>
      </c>
      <c r="W36" s="13" t="inlineStr">
        <is>
          <t xml:space="preserve">  -&gt; Keep Informed</t>
        </is>
      </c>
    </row>
    <row r="37">
      <c r="A37" s="9" t="n"/>
      <c r="B37" s="9" t="n"/>
      <c r="C37" s="9" t="n"/>
      <c r="D37" s="7">
        <f>IF(B37="","",VLOOKUP(B37,$N$3:$R$14,2,FALSE))</f>
        <v/>
      </c>
      <c r="E37" s="7">
        <f>IF(B37="","",VLOOKUP(B37,$N$3:$R$14,3,FALSE))</f>
        <v/>
      </c>
      <c r="F37" s="7" t="n"/>
      <c r="G37" s="7" t="n"/>
      <c r="H37" s="7">
        <f>IF(B37="","",VLOOKUP(B37,$N$3:$R$14,4,FALSE))</f>
        <v/>
      </c>
      <c r="I37" s="7">
        <f>IF(OR(D37="",E37=""),"",IF(AND(D37="High",E37="High"),"Manage Closely",IF(AND(D37="High",E37="Medium"),"Keep Satisfied",IF(AND(D37="High",E37="Low"),"Keep Satisfied",IF(AND(D37="Medium",E37="High"),"Keep Informed",IF(AND(D37="Medium",E37="Medium"),"Keep Informed",IF(AND(D37="Medium",E37="Low"),"Monitor",IF(AND(D37="Low",E37="High"),"Keep Informed",IF(AND(D37="Low",E37="Medium"),"Monitor","Monitor")))))))))</f>
        <v/>
      </c>
      <c r="J37" s="7">
        <f>IF(OR(F37="",G37=""),"",(VLOOKUP(G37,$T$3:$U$8,2,FALSE)-VLOOKUP(F37,$T$3:$U$8,2,FALSE))*IF(D37="High",3,IF(D37="Medium",2,1))*6.67)</f>
        <v/>
      </c>
      <c r="K37" s="7">
        <f>IF(B37="","",IF(VLOOKUP(B37,$N$3:$R$14,5,FALSE)&lt;=2,1,1-((IF(AND($B$4="Executive Sponsor",OR($F$4="Committed",$F$4="Advocating")),0.3,0))+(IF(AND($B$5="Senior Leadership",OR($F$5="Committed",$F$5="Advocating")),0.2,0)))))</f>
        <v/>
      </c>
      <c r="L37" s="7">
        <f>IF(OR(J37="",K37=""),"",MAX(0,ROUND(J37*K37,0)))</f>
        <v/>
      </c>
      <c r="W37" s="13" t="inlineStr">
        <is>
          <t>Low Power/Low Interest:</t>
        </is>
      </c>
    </row>
    <row r="38">
      <c r="A38" s="9" t="n"/>
      <c r="B38" s="9" t="n"/>
      <c r="C38" s="9" t="n"/>
      <c r="D38" s="7">
        <f>IF(B38="","",VLOOKUP(B38,$N$3:$R$14,2,FALSE))</f>
        <v/>
      </c>
      <c r="E38" s="7">
        <f>IF(B38="","",VLOOKUP(B38,$N$3:$R$14,3,FALSE))</f>
        <v/>
      </c>
      <c r="F38" s="7" t="n"/>
      <c r="G38" s="7" t="n"/>
      <c r="H38" s="7">
        <f>IF(B38="","",VLOOKUP(B38,$N$3:$R$14,4,FALSE))</f>
        <v/>
      </c>
      <c r="I38" s="7">
        <f>IF(OR(D38="",E38=""),"",IF(AND(D38="High",E38="High"),"Manage Closely",IF(AND(D38="High",E38="Medium"),"Keep Satisfied",IF(AND(D38="High",E38="Low"),"Keep Satisfied",IF(AND(D38="Medium",E38="High"),"Keep Informed",IF(AND(D38="Medium",E38="Medium"),"Keep Informed",IF(AND(D38="Medium",E38="Low"),"Monitor",IF(AND(D38="Low",E38="High"),"Keep Informed",IF(AND(D38="Low",E38="Medium"),"Monitor","Monitor")))))))))</f>
        <v/>
      </c>
      <c r="J38" s="7">
        <f>IF(OR(F38="",G38=""),"",(VLOOKUP(G38,$T$3:$U$8,2,FALSE)-VLOOKUP(F38,$T$3:$U$8,2,FALSE))*IF(D38="High",3,IF(D38="Medium",2,1))*6.67)</f>
        <v/>
      </c>
      <c r="K38" s="7">
        <f>IF(B38="","",IF(VLOOKUP(B38,$N$3:$R$14,5,FALSE)&lt;=2,1,1-((IF(AND($B$4="Executive Sponsor",OR($F$4="Committed",$F$4="Advocating")),0.3,0))+(IF(AND($B$5="Senior Leadership",OR($F$5="Committed",$F$5="Advocating")),0.2,0)))))</f>
        <v/>
      </c>
      <c r="L38" s="7">
        <f>IF(OR(J38="",K38=""),"",MAX(0,ROUND(J38*K38,0)))</f>
        <v/>
      </c>
      <c r="W38" s="13" t="inlineStr">
        <is>
          <t xml:space="preserve">  -&gt; Monitor</t>
        </is>
      </c>
    </row>
    <row r="39">
      <c r="A39" s="9" t="n"/>
      <c r="B39" s="9" t="n"/>
      <c r="C39" s="9" t="n"/>
      <c r="D39" s="7">
        <f>IF(B39="","",VLOOKUP(B39,$N$3:$R$14,2,FALSE))</f>
        <v/>
      </c>
      <c r="E39" s="7">
        <f>IF(B39="","",VLOOKUP(B39,$N$3:$R$14,3,FALSE))</f>
        <v/>
      </c>
      <c r="F39" s="7" t="n"/>
      <c r="G39" s="7" t="n"/>
      <c r="H39" s="7">
        <f>IF(B39="","",VLOOKUP(B39,$N$3:$R$14,4,FALSE))</f>
        <v/>
      </c>
      <c r="I39" s="7">
        <f>IF(OR(D39="",E39=""),"",IF(AND(D39="High",E39="High"),"Manage Closely",IF(AND(D39="High",E39="Medium"),"Keep Satisfied",IF(AND(D39="High",E39="Low"),"Keep Satisfied",IF(AND(D39="Medium",E39="High"),"Keep Informed",IF(AND(D39="Medium",E39="Medium"),"Keep Informed",IF(AND(D39="Medium",E39="Low"),"Monitor",IF(AND(D39="Low",E39="High"),"Keep Informed",IF(AND(D39="Low",E39="Medium"),"Monitor","Monitor")))))))))</f>
        <v/>
      </c>
      <c r="J39" s="7">
        <f>IF(OR(F39="",G39=""),"",(VLOOKUP(G39,$T$3:$U$8,2,FALSE)-VLOOKUP(F39,$T$3:$U$8,2,FALSE))*IF(D39="High",3,IF(D39="Medium",2,1))*6.67)</f>
        <v/>
      </c>
      <c r="K39" s="7">
        <f>IF(B39="","",IF(VLOOKUP(B39,$N$3:$R$14,5,FALSE)&lt;=2,1,1-((IF(AND($B$4="Executive Sponsor",OR($F$4="Committed",$F$4="Advocating")),0.3,0))+(IF(AND($B$5="Senior Leadership",OR($F$5="Committed",$F$5="Advocating")),0.2,0)))))</f>
        <v/>
      </c>
      <c r="L39" s="7">
        <f>IF(OR(J39="",K39=""),"",MAX(0,ROUND(J39*K39,0)))</f>
        <v/>
      </c>
    </row>
    <row r="40">
      <c r="A40" s="9" t="n"/>
      <c r="B40" s="9" t="n"/>
      <c r="C40" s="9" t="n"/>
      <c r="D40" s="7">
        <f>IF(B40="","",VLOOKUP(B40,$N$3:$R$14,2,FALSE))</f>
        <v/>
      </c>
      <c r="E40" s="7">
        <f>IF(B40="","",VLOOKUP(B40,$N$3:$R$14,3,FALSE))</f>
        <v/>
      </c>
      <c r="F40" s="7" t="n"/>
      <c r="G40" s="7" t="n"/>
      <c r="H40" s="7">
        <f>IF(B40="","",VLOOKUP(B40,$N$3:$R$14,4,FALSE))</f>
        <v/>
      </c>
      <c r="I40" s="7">
        <f>IF(OR(D40="",E40=""),"",IF(AND(D40="High",E40="High"),"Manage Closely",IF(AND(D40="High",E40="Medium"),"Keep Satisfied",IF(AND(D40="High",E40="Low"),"Keep Satisfied",IF(AND(D40="Medium",E40="High"),"Keep Informed",IF(AND(D40="Medium",E40="Medium"),"Keep Informed",IF(AND(D40="Medium",E40="Low"),"Monitor",IF(AND(D40="Low",E40="High"),"Keep Informed",IF(AND(D40="Low",E40="Medium"),"Monitor","Monitor")))))))))</f>
        <v/>
      </c>
      <c r="J40" s="7">
        <f>IF(OR(F40="",G40=""),"",(VLOOKUP(G40,$T$3:$U$8,2,FALSE)-VLOOKUP(F40,$T$3:$U$8,2,FALSE))*IF(D40="High",3,IF(D40="Medium",2,1))*6.67)</f>
        <v/>
      </c>
      <c r="K40" s="7">
        <f>IF(B40="","",IF(VLOOKUP(B40,$N$3:$R$14,5,FALSE)&lt;=2,1,1-((IF(AND($B$4="Executive Sponsor",OR($F$4="Committed",$F$4="Advocating")),0.3,0))+(IF(AND($B$5="Senior Leadership",OR($F$5="Committed",$F$5="Advocating")),0.2,0)))))</f>
        <v/>
      </c>
      <c r="L40" s="7">
        <f>IF(OR(J40="",K40=""),"",MAX(0,ROUND(J40*K40,0)))</f>
        <v/>
      </c>
    </row>
    <row r="41">
      <c r="A41" s="9" t="n"/>
      <c r="B41" s="9" t="n"/>
      <c r="C41" s="9" t="n"/>
      <c r="D41" s="7">
        <f>IF(B41="","",VLOOKUP(B41,$N$3:$R$14,2,FALSE))</f>
        <v/>
      </c>
      <c r="E41" s="7">
        <f>IF(B41="","",VLOOKUP(B41,$N$3:$R$14,3,FALSE))</f>
        <v/>
      </c>
      <c r="F41" s="7" t="n"/>
      <c r="G41" s="7" t="n"/>
      <c r="H41" s="7">
        <f>IF(B41="","",VLOOKUP(B41,$N$3:$R$14,4,FALSE))</f>
        <v/>
      </c>
      <c r="I41" s="7">
        <f>IF(OR(D41="",E41=""),"",IF(AND(D41="High",E41="High"),"Manage Closely",IF(AND(D41="High",E41="Medium"),"Keep Satisfied",IF(AND(D41="High",E41="Low"),"Keep Satisfied",IF(AND(D41="Medium",E41="High"),"Keep Informed",IF(AND(D41="Medium",E41="Medium"),"Keep Informed",IF(AND(D41="Medium",E41="Low"),"Monitor",IF(AND(D41="Low",E41="High"),"Keep Informed",IF(AND(D41="Low",E41="Medium"),"Monitor","Monitor")))))))))</f>
        <v/>
      </c>
      <c r="J41" s="7">
        <f>IF(OR(F41="",G41=""),"",(VLOOKUP(G41,$T$3:$U$8,2,FALSE)-VLOOKUP(F41,$T$3:$U$8,2,FALSE))*IF(D41="High",3,IF(D41="Medium",2,1))*6.67)</f>
        <v/>
      </c>
      <c r="K41" s="7">
        <f>IF(B41="","",IF(VLOOKUP(B41,$N$3:$R$14,5,FALSE)&lt;=2,1,1-((IF(AND($B$4="Executive Sponsor",OR($F$4="Committed",$F$4="Advocating")),0.3,0))+(IF(AND($B$5="Senior Leadership",OR($F$5="Committed",$F$5="Advocating")),0.2,0)))))</f>
        <v/>
      </c>
      <c r="L41" s="7">
        <f>IF(OR(J41="",K41=""),"",MAX(0,ROUND(J41*K41,0)))</f>
        <v/>
      </c>
    </row>
    <row r="42">
      <c r="A42" s="9" t="n"/>
      <c r="B42" s="9" t="n"/>
      <c r="C42" s="9" t="n"/>
      <c r="D42" s="7">
        <f>IF(B42="","",VLOOKUP(B42,$N$3:$R$14,2,FALSE))</f>
        <v/>
      </c>
      <c r="E42" s="7">
        <f>IF(B42="","",VLOOKUP(B42,$N$3:$R$14,3,FALSE))</f>
        <v/>
      </c>
      <c r="F42" s="7" t="n"/>
      <c r="G42" s="7" t="n"/>
      <c r="H42" s="7">
        <f>IF(B42="","",VLOOKUP(B42,$N$3:$R$14,4,FALSE))</f>
        <v/>
      </c>
      <c r="I42" s="7">
        <f>IF(OR(D42="",E42=""),"",IF(AND(D42="High",E42="High"),"Manage Closely",IF(AND(D42="High",E42="Medium"),"Keep Satisfied",IF(AND(D42="High",E42="Low"),"Keep Satisfied",IF(AND(D42="Medium",E42="High"),"Keep Informed",IF(AND(D42="Medium",E42="Medium"),"Keep Informed",IF(AND(D42="Medium",E42="Low"),"Monitor",IF(AND(D42="Low",E42="High"),"Keep Informed",IF(AND(D42="Low",E42="Medium"),"Monitor","Monitor")))))))))</f>
        <v/>
      </c>
      <c r="J42" s="7">
        <f>IF(OR(F42="",G42=""),"",(VLOOKUP(G42,$T$3:$U$8,2,FALSE)-VLOOKUP(F42,$T$3:$U$8,2,FALSE))*IF(D42="High",3,IF(D42="Medium",2,1))*6.67)</f>
        <v/>
      </c>
      <c r="K42" s="7">
        <f>IF(B42="","",IF(VLOOKUP(B42,$N$3:$R$14,5,FALSE)&lt;=2,1,1-((IF(AND($B$4="Executive Sponsor",OR($F$4="Committed",$F$4="Advocating")),0.3,0))+(IF(AND($B$5="Senior Leadership",OR($F$5="Committed",$F$5="Advocating")),0.2,0)))))</f>
        <v/>
      </c>
      <c r="L42" s="7">
        <f>IF(OR(J42="",K42=""),"",MAX(0,ROUND(J42*K42,0)))</f>
        <v/>
      </c>
    </row>
    <row r="43">
      <c r="A43" s="9" t="n"/>
      <c r="B43" s="9" t="n"/>
      <c r="C43" s="9" t="n"/>
      <c r="D43" s="7">
        <f>IF(B43="","",VLOOKUP(B43,$N$3:$R$14,2,FALSE))</f>
        <v/>
      </c>
      <c r="E43" s="7">
        <f>IF(B43="","",VLOOKUP(B43,$N$3:$R$14,3,FALSE))</f>
        <v/>
      </c>
      <c r="F43" s="7" t="n"/>
      <c r="G43" s="7" t="n"/>
      <c r="H43" s="7">
        <f>IF(B43="","",VLOOKUP(B43,$N$3:$R$14,4,FALSE))</f>
        <v/>
      </c>
      <c r="I43" s="7">
        <f>IF(OR(D43="",E43=""),"",IF(AND(D43="High",E43="High"),"Manage Closely",IF(AND(D43="High",E43="Medium"),"Keep Satisfied",IF(AND(D43="High",E43="Low"),"Keep Satisfied",IF(AND(D43="Medium",E43="High"),"Keep Informed",IF(AND(D43="Medium",E43="Medium"),"Keep Informed",IF(AND(D43="Medium",E43="Low"),"Monitor",IF(AND(D43="Low",E43="High"),"Keep Informed",IF(AND(D43="Low",E43="Medium"),"Monitor","Monitor")))))))))</f>
        <v/>
      </c>
      <c r="J43" s="7">
        <f>IF(OR(F43="",G43=""),"",(VLOOKUP(G43,$T$3:$U$8,2,FALSE)-VLOOKUP(F43,$T$3:$U$8,2,FALSE))*IF(D43="High",3,IF(D43="Medium",2,1))*6.67)</f>
        <v/>
      </c>
      <c r="K43" s="7">
        <f>IF(B43="","",IF(VLOOKUP(B43,$N$3:$R$14,5,FALSE)&lt;=2,1,1-((IF(AND($B$4="Executive Sponsor",OR($F$4="Committed",$F$4="Advocating")),0.3,0))+(IF(AND($B$5="Senior Leadership",OR($F$5="Committed",$F$5="Advocating")),0.2,0)))))</f>
        <v/>
      </c>
      <c r="L43" s="7">
        <f>IF(OR(J43="",K43=""),"",MAX(0,ROUND(J43*K43,0)))</f>
        <v/>
      </c>
    </row>
    <row r="44">
      <c r="A44" s="9" t="n"/>
      <c r="B44" s="9" t="n"/>
      <c r="C44" s="9" t="n"/>
      <c r="D44" s="7">
        <f>IF(B44="","",VLOOKUP(B44,$N$3:$R$14,2,FALSE))</f>
        <v/>
      </c>
      <c r="E44" s="7">
        <f>IF(B44="","",VLOOKUP(B44,$N$3:$R$14,3,FALSE))</f>
        <v/>
      </c>
      <c r="F44" s="7" t="n"/>
      <c r="G44" s="7" t="n"/>
      <c r="H44" s="7">
        <f>IF(B44="","",VLOOKUP(B44,$N$3:$R$14,4,FALSE))</f>
        <v/>
      </c>
      <c r="I44" s="7">
        <f>IF(OR(D44="",E44=""),"",IF(AND(D44="High",E44="High"),"Manage Closely",IF(AND(D44="High",E44="Medium"),"Keep Satisfied",IF(AND(D44="High",E44="Low"),"Keep Satisfied",IF(AND(D44="Medium",E44="High"),"Keep Informed",IF(AND(D44="Medium",E44="Medium"),"Keep Informed",IF(AND(D44="Medium",E44="Low"),"Monitor",IF(AND(D44="Low",E44="High"),"Keep Informed",IF(AND(D44="Low",E44="Medium"),"Monitor","Monitor")))))))))</f>
        <v/>
      </c>
      <c r="J44" s="7">
        <f>IF(OR(F44="",G44=""),"",(VLOOKUP(G44,$T$3:$U$8,2,FALSE)-VLOOKUP(F44,$T$3:$U$8,2,FALSE))*IF(D44="High",3,IF(D44="Medium",2,1))*6.67)</f>
        <v/>
      </c>
      <c r="K44" s="7">
        <f>IF(B44="","",IF(VLOOKUP(B44,$N$3:$R$14,5,FALSE)&lt;=2,1,1-((IF(AND($B$4="Executive Sponsor",OR($F$4="Committed",$F$4="Advocating")),0.3,0))+(IF(AND($B$5="Senior Leadership",OR($F$5="Committed",$F$5="Advocating")),0.2,0)))))</f>
        <v/>
      </c>
      <c r="L44" s="7">
        <f>IF(OR(J44="",K44=""),"",MAX(0,ROUND(J44*K44,0)))</f>
        <v/>
      </c>
    </row>
    <row r="45">
      <c r="A45" s="9" t="n"/>
      <c r="B45" s="9" t="n"/>
      <c r="C45" s="9" t="n"/>
      <c r="D45" s="7">
        <f>IF(B45="","",VLOOKUP(B45,$N$3:$R$14,2,FALSE))</f>
        <v/>
      </c>
      <c r="E45" s="7">
        <f>IF(B45="","",VLOOKUP(B45,$N$3:$R$14,3,FALSE))</f>
        <v/>
      </c>
      <c r="F45" s="7" t="n"/>
      <c r="G45" s="7" t="n"/>
      <c r="H45" s="7">
        <f>IF(B45="","",VLOOKUP(B45,$N$3:$R$14,4,FALSE))</f>
        <v/>
      </c>
      <c r="I45" s="7">
        <f>IF(OR(D45="",E45=""),"",IF(AND(D45="High",E45="High"),"Manage Closely",IF(AND(D45="High",E45="Medium"),"Keep Satisfied",IF(AND(D45="High",E45="Low"),"Keep Satisfied",IF(AND(D45="Medium",E45="High"),"Keep Informed",IF(AND(D45="Medium",E45="Medium"),"Keep Informed",IF(AND(D45="Medium",E45="Low"),"Monitor",IF(AND(D45="Low",E45="High"),"Keep Informed",IF(AND(D45="Low",E45="Medium"),"Monitor","Monitor")))))))))</f>
        <v/>
      </c>
      <c r="J45" s="7">
        <f>IF(OR(F45="",G45=""),"",(VLOOKUP(G45,$T$3:$U$8,2,FALSE)-VLOOKUP(F45,$T$3:$U$8,2,FALSE))*IF(D45="High",3,IF(D45="Medium",2,1))*6.67)</f>
        <v/>
      </c>
      <c r="K45" s="7">
        <f>IF(B45="","",IF(VLOOKUP(B45,$N$3:$R$14,5,FALSE)&lt;=2,1,1-((IF(AND($B$4="Executive Sponsor",OR($F$4="Committed",$F$4="Advocating")),0.3,0))+(IF(AND($B$5="Senior Leadership",OR($F$5="Committed",$F$5="Advocating")),0.2,0)))))</f>
        <v/>
      </c>
      <c r="L45" s="7">
        <f>IF(OR(J45="",K45=""),"",MAX(0,ROUND(J45*K45,0)))</f>
        <v/>
      </c>
    </row>
    <row r="46">
      <c r="A46" s="9" t="n"/>
      <c r="B46" s="9" t="n"/>
      <c r="C46" s="9" t="n"/>
      <c r="D46" s="7">
        <f>IF(B46="","",VLOOKUP(B46,$N$3:$R$14,2,FALSE))</f>
        <v/>
      </c>
      <c r="E46" s="7">
        <f>IF(B46="","",VLOOKUP(B46,$N$3:$R$14,3,FALSE))</f>
        <v/>
      </c>
      <c r="F46" s="7" t="n"/>
      <c r="G46" s="7" t="n"/>
      <c r="H46" s="7">
        <f>IF(B46="","",VLOOKUP(B46,$N$3:$R$14,4,FALSE))</f>
        <v/>
      </c>
      <c r="I46" s="7">
        <f>IF(OR(D46="",E46=""),"",IF(AND(D46="High",E46="High"),"Manage Closely",IF(AND(D46="High",E46="Medium"),"Keep Satisfied",IF(AND(D46="High",E46="Low"),"Keep Satisfied",IF(AND(D46="Medium",E46="High"),"Keep Informed",IF(AND(D46="Medium",E46="Medium"),"Keep Informed",IF(AND(D46="Medium",E46="Low"),"Monitor",IF(AND(D46="Low",E46="High"),"Keep Informed",IF(AND(D46="Low",E46="Medium"),"Monitor","Monitor")))))))))</f>
        <v/>
      </c>
      <c r="J46" s="7">
        <f>IF(OR(F46="",G46=""),"",(VLOOKUP(G46,$T$3:$U$8,2,FALSE)-VLOOKUP(F46,$T$3:$U$8,2,FALSE))*IF(D46="High",3,IF(D46="Medium",2,1))*6.67)</f>
        <v/>
      </c>
      <c r="K46" s="7">
        <f>IF(B46="","",IF(VLOOKUP(B46,$N$3:$R$14,5,FALSE)&lt;=2,1,1-((IF(AND($B$4="Executive Sponsor",OR($F$4="Committed",$F$4="Advocating")),0.3,0))+(IF(AND($B$5="Senior Leadership",OR($F$5="Committed",$F$5="Advocating")),0.2,0)))))</f>
        <v/>
      </c>
      <c r="L46" s="7">
        <f>IF(OR(J46="",K46=""),"",MAX(0,ROUND(J46*K46,0)))</f>
        <v/>
      </c>
    </row>
    <row r="47">
      <c r="A47" s="9" t="n"/>
      <c r="B47" s="9" t="n"/>
      <c r="C47" s="9" t="n"/>
      <c r="D47" s="7">
        <f>IF(B47="","",VLOOKUP(B47,$N$3:$R$14,2,FALSE))</f>
        <v/>
      </c>
      <c r="E47" s="7">
        <f>IF(B47="","",VLOOKUP(B47,$N$3:$R$14,3,FALSE))</f>
        <v/>
      </c>
      <c r="F47" s="7" t="n"/>
      <c r="G47" s="7" t="n"/>
      <c r="H47" s="7">
        <f>IF(B47="","",VLOOKUP(B47,$N$3:$R$14,4,FALSE))</f>
        <v/>
      </c>
      <c r="I47" s="7">
        <f>IF(OR(D47="",E47=""),"",IF(AND(D47="High",E47="High"),"Manage Closely",IF(AND(D47="High",E47="Medium"),"Keep Satisfied",IF(AND(D47="High",E47="Low"),"Keep Satisfied",IF(AND(D47="Medium",E47="High"),"Keep Informed",IF(AND(D47="Medium",E47="Medium"),"Keep Informed",IF(AND(D47="Medium",E47="Low"),"Monitor",IF(AND(D47="Low",E47="High"),"Keep Informed",IF(AND(D47="Low",E47="Medium"),"Monitor","Monitor")))))))))</f>
        <v/>
      </c>
      <c r="J47" s="7">
        <f>IF(OR(F47="",G47=""),"",(VLOOKUP(G47,$T$3:$U$8,2,FALSE)-VLOOKUP(F47,$T$3:$U$8,2,FALSE))*IF(D47="High",3,IF(D47="Medium",2,1))*6.67)</f>
        <v/>
      </c>
      <c r="K47" s="7">
        <f>IF(B47="","",IF(VLOOKUP(B47,$N$3:$R$14,5,FALSE)&lt;=2,1,1-((IF(AND($B$4="Executive Sponsor",OR($F$4="Committed",$F$4="Advocating")),0.3,0))+(IF(AND($B$5="Senior Leadership",OR($F$5="Committed",$F$5="Advocating")),0.2,0)))))</f>
        <v/>
      </c>
      <c r="L47" s="7">
        <f>IF(OR(J47="",K47=""),"",MAX(0,ROUND(J47*K47,0)))</f>
        <v/>
      </c>
    </row>
    <row r="48">
      <c r="A48" s="9" t="n"/>
      <c r="B48" s="9" t="n"/>
      <c r="C48" s="9" t="n"/>
      <c r="D48" s="7">
        <f>IF(B48="","",VLOOKUP(B48,$N$3:$R$14,2,FALSE))</f>
        <v/>
      </c>
      <c r="E48" s="7">
        <f>IF(B48="","",VLOOKUP(B48,$N$3:$R$14,3,FALSE))</f>
        <v/>
      </c>
      <c r="F48" s="7" t="n"/>
      <c r="G48" s="7" t="n"/>
      <c r="H48" s="7">
        <f>IF(B48="","",VLOOKUP(B48,$N$3:$R$14,4,FALSE))</f>
        <v/>
      </c>
      <c r="I48" s="7">
        <f>IF(OR(D48="",E48=""),"",IF(AND(D48="High",E48="High"),"Manage Closely",IF(AND(D48="High",E48="Medium"),"Keep Satisfied",IF(AND(D48="High",E48="Low"),"Keep Satisfied",IF(AND(D48="Medium",E48="High"),"Keep Informed",IF(AND(D48="Medium",E48="Medium"),"Keep Informed",IF(AND(D48="Medium",E48="Low"),"Monitor",IF(AND(D48="Low",E48="High"),"Keep Informed",IF(AND(D48="Low",E48="Medium"),"Monitor","Monitor")))))))))</f>
        <v/>
      </c>
      <c r="J48" s="7">
        <f>IF(OR(F48="",G48=""),"",(VLOOKUP(G48,$T$3:$U$8,2,FALSE)-VLOOKUP(F48,$T$3:$U$8,2,FALSE))*IF(D48="High",3,IF(D48="Medium",2,1))*6.67)</f>
        <v/>
      </c>
      <c r="K48" s="7">
        <f>IF(B48="","",IF(VLOOKUP(B48,$N$3:$R$14,5,FALSE)&lt;=2,1,1-((IF(AND($B$4="Executive Sponsor",OR($F$4="Committed",$F$4="Advocating")),0.3,0))+(IF(AND($B$5="Senior Leadership",OR($F$5="Committed",$F$5="Advocating")),0.2,0)))))</f>
        <v/>
      </c>
      <c r="L48" s="7">
        <f>IF(OR(J48="",K48=""),"",MAX(0,ROUND(J48*K48,0)))</f>
        <v/>
      </c>
    </row>
    <row r="49">
      <c r="A49" s="9" t="n"/>
      <c r="B49" s="9" t="n"/>
      <c r="C49" s="9" t="n"/>
      <c r="D49" s="7">
        <f>IF(B49="","",VLOOKUP(B49,$N$3:$R$14,2,FALSE))</f>
        <v/>
      </c>
      <c r="E49" s="7">
        <f>IF(B49="","",VLOOKUP(B49,$N$3:$R$14,3,FALSE))</f>
        <v/>
      </c>
      <c r="F49" s="7" t="n"/>
      <c r="G49" s="7" t="n"/>
      <c r="H49" s="7">
        <f>IF(B49="","",VLOOKUP(B49,$N$3:$R$14,4,FALSE))</f>
        <v/>
      </c>
      <c r="I49" s="7">
        <f>IF(OR(D49="",E49=""),"",IF(AND(D49="High",E49="High"),"Manage Closely",IF(AND(D49="High",E49="Medium"),"Keep Satisfied",IF(AND(D49="High",E49="Low"),"Keep Satisfied",IF(AND(D49="Medium",E49="High"),"Keep Informed",IF(AND(D49="Medium",E49="Medium"),"Keep Informed",IF(AND(D49="Medium",E49="Low"),"Monitor",IF(AND(D49="Low",E49="High"),"Keep Informed",IF(AND(D49="Low",E49="Medium"),"Monitor","Monitor")))))))))</f>
        <v/>
      </c>
      <c r="J49" s="7">
        <f>IF(OR(F49="",G49=""),"",(VLOOKUP(G49,$T$3:$U$8,2,FALSE)-VLOOKUP(F49,$T$3:$U$8,2,FALSE))*IF(D49="High",3,IF(D49="Medium",2,1))*6.67)</f>
        <v/>
      </c>
      <c r="K49" s="7">
        <f>IF(B49="","",IF(VLOOKUP(B49,$N$3:$R$14,5,FALSE)&lt;=2,1,1-((IF(AND($B$4="Executive Sponsor",OR($F$4="Committed",$F$4="Advocating")),0.3,0))+(IF(AND($B$5="Senior Leadership",OR($F$5="Committed",$F$5="Advocating")),0.2,0)))))</f>
        <v/>
      </c>
      <c r="L49" s="7">
        <f>IF(OR(J49="",K49=""),"",MAX(0,ROUND(J49*K49,0)))</f>
        <v/>
      </c>
    </row>
    <row r="50">
      <c r="A50" s="9" t="n"/>
      <c r="B50" s="9" t="n"/>
      <c r="C50" s="9" t="n"/>
      <c r="D50" s="7">
        <f>IF(B50="","",VLOOKUP(B50,$N$3:$R$14,2,FALSE))</f>
        <v/>
      </c>
      <c r="E50" s="7">
        <f>IF(B50="","",VLOOKUP(B50,$N$3:$R$14,3,FALSE))</f>
        <v/>
      </c>
      <c r="F50" s="7" t="n"/>
      <c r="G50" s="7" t="n"/>
      <c r="H50" s="7">
        <f>IF(B50="","",VLOOKUP(B50,$N$3:$R$14,4,FALSE))</f>
        <v/>
      </c>
      <c r="I50" s="7">
        <f>IF(OR(D50="",E50=""),"",IF(AND(D50="High",E50="High"),"Manage Closely",IF(AND(D50="High",E50="Medium"),"Keep Satisfied",IF(AND(D50="High",E50="Low"),"Keep Satisfied",IF(AND(D50="Medium",E50="High"),"Keep Informed",IF(AND(D50="Medium",E50="Medium"),"Keep Informed",IF(AND(D50="Medium",E50="Low"),"Monitor",IF(AND(D50="Low",E50="High"),"Keep Informed",IF(AND(D50="Low",E50="Medium"),"Monitor","Monitor")))))))))</f>
        <v/>
      </c>
      <c r="J50" s="7">
        <f>IF(OR(F50="",G50=""),"",(VLOOKUP(G50,$T$3:$U$8,2,FALSE)-VLOOKUP(F50,$T$3:$U$8,2,FALSE))*IF(D50="High",3,IF(D50="Medium",2,1))*6.67)</f>
        <v/>
      </c>
      <c r="K50" s="7">
        <f>IF(B50="","",IF(VLOOKUP(B50,$N$3:$R$14,5,FALSE)&lt;=2,1,1-((IF(AND($B$4="Executive Sponsor",OR($F$4="Committed",$F$4="Advocating")),0.3,0))+(IF(AND($B$5="Senior Leadership",OR($F$5="Committed",$F$5="Advocating")),0.2,0)))))</f>
        <v/>
      </c>
      <c r="L50" s="7">
        <f>IF(OR(J50="",K50=""),"",MAX(0,ROUND(J50*K50,0)))</f>
        <v/>
      </c>
    </row>
    <row r="51">
      <c r="A51" s="9" t="n"/>
      <c r="B51" s="9" t="n"/>
      <c r="C51" s="9" t="n"/>
      <c r="D51" s="7">
        <f>IF(B51="","",VLOOKUP(B51,$N$3:$R$14,2,FALSE))</f>
        <v/>
      </c>
      <c r="E51" s="7">
        <f>IF(B51="","",VLOOKUP(B51,$N$3:$R$14,3,FALSE))</f>
        <v/>
      </c>
      <c r="F51" s="7" t="n"/>
      <c r="G51" s="7" t="n"/>
      <c r="H51" s="7">
        <f>IF(B51="","",VLOOKUP(B51,$N$3:$R$14,4,FALSE))</f>
        <v/>
      </c>
      <c r="I51" s="7">
        <f>IF(OR(D51="",E51=""),"",IF(AND(D51="High",E51="High"),"Manage Closely",IF(AND(D51="High",E51="Medium"),"Keep Satisfied",IF(AND(D51="High",E51="Low"),"Keep Satisfied",IF(AND(D51="Medium",E51="High"),"Keep Informed",IF(AND(D51="Medium",E51="Medium"),"Keep Informed",IF(AND(D51="Medium",E51="Low"),"Monitor",IF(AND(D51="Low",E51="High"),"Keep Informed",IF(AND(D51="Low",E51="Medium"),"Monitor","Monitor")))))))))</f>
        <v/>
      </c>
      <c r="J51" s="7">
        <f>IF(OR(F51="",G51=""),"",(VLOOKUP(G51,$T$3:$U$8,2,FALSE)-VLOOKUP(F51,$T$3:$U$8,2,FALSE))*IF(D51="High",3,IF(D51="Medium",2,1))*6.67)</f>
        <v/>
      </c>
      <c r="K51" s="7">
        <f>IF(B51="","",IF(VLOOKUP(B51,$N$3:$R$14,5,FALSE)&lt;=2,1,1-((IF(AND($B$4="Executive Sponsor",OR($F$4="Committed",$F$4="Advocating")),0.3,0))+(IF(AND($B$5="Senior Leadership",OR($F$5="Committed",$F$5="Advocating")),0.2,0)))))</f>
        <v/>
      </c>
      <c r="L51" s="7">
        <f>IF(OR(J51="",K51=""),"",MAX(0,ROUND(J51*K51,0)))</f>
        <v/>
      </c>
    </row>
    <row r="52">
      <c r="A52" s="9" t="n"/>
      <c r="B52" s="9" t="n"/>
      <c r="C52" s="9" t="n"/>
      <c r="D52" s="7">
        <f>IF(B52="","",VLOOKUP(B52,$N$3:$R$14,2,FALSE))</f>
        <v/>
      </c>
      <c r="E52" s="7">
        <f>IF(B52="","",VLOOKUP(B52,$N$3:$R$14,3,FALSE))</f>
        <v/>
      </c>
      <c r="F52" s="7" t="n"/>
      <c r="G52" s="7" t="n"/>
      <c r="H52" s="7">
        <f>IF(B52="","",VLOOKUP(B52,$N$3:$R$14,4,FALSE))</f>
        <v/>
      </c>
      <c r="I52" s="7">
        <f>IF(OR(D52="",E52=""),"",IF(AND(D52="High",E52="High"),"Manage Closely",IF(AND(D52="High",E52="Medium"),"Keep Satisfied",IF(AND(D52="High",E52="Low"),"Keep Satisfied",IF(AND(D52="Medium",E52="High"),"Keep Informed",IF(AND(D52="Medium",E52="Medium"),"Keep Informed",IF(AND(D52="Medium",E52="Low"),"Monitor",IF(AND(D52="Low",E52="High"),"Keep Informed",IF(AND(D52="Low",E52="Medium"),"Monitor","Monitor")))))))))</f>
        <v/>
      </c>
      <c r="J52" s="7">
        <f>IF(OR(F52="",G52=""),"",(VLOOKUP(G52,$T$3:$U$8,2,FALSE)-VLOOKUP(F52,$T$3:$U$8,2,FALSE))*IF(D52="High",3,IF(D52="Medium",2,1))*6.67)</f>
        <v/>
      </c>
      <c r="K52" s="7">
        <f>IF(B52="","",IF(VLOOKUP(B52,$N$3:$R$14,5,FALSE)&lt;=2,1,1-((IF(AND($B$4="Executive Sponsor",OR($F$4="Committed",$F$4="Advocating")),0.3,0))+(IF(AND($B$5="Senior Leadership",OR($F$5="Committed",$F$5="Advocating")),0.2,0)))))</f>
        <v/>
      </c>
      <c r="L52" s="7">
        <f>IF(OR(J52="",K52=""),"",MAX(0,ROUND(J52*K52,0)))</f>
        <v/>
      </c>
    </row>
    <row r="53">
      <c r="A53" s="9" t="n"/>
      <c r="B53" s="9" t="n"/>
      <c r="C53" s="9" t="n"/>
      <c r="D53" s="7">
        <f>IF(B53="","",VLOOKUP(B53,$N$3:$R$14,2,FALSE))</f>
        <v/>
      </c>
      <c r="E53" s="7">
        <f>IF(B53="","",VLOOKUP(B53,$N$3:$R$14,3,FALSE))</f>
        <v/>
      </c>
      <c r="F53" s="7" t="n"/>
      <c r="G53" s="7" t="n"/>
      <c r="H53" s="7">
        <f>IF(B53="","",VLOOKUP(B53,$N$3:$R$14,4,FALSE))</f>
        <v/>
      </c>
      <c r="I53" s="7">
        <f>IF(OR(D53="",E53=""),"",IF(AND(D53="High",E53="High"),"Manage Closely",IF(AND(D53="High",E53="Medium"),"Keep Satisfied",IF(AND(D53="High",E53="Low"),"Keep Satisfied",IF(AND(D53="Medium",E53="High"),"Keep Informed",IF(AND(D53="Medium",E53="Medium"),"Keep Informed",IF(AND(D53="Medium",E53="Low"),"Monitor",IF(AND(D53="Low",E53="High"),"Keep Informed",IF(AND(D53="Low",E53="Medium"),"Monitor","Monitor")))))))))</f>
        <v/>
      </c>
      <c r="J53" s="7">
        <f>IF(OR(F53="",G53=""),"",(VLOOKUP(G53,$T$3:$U$8,2,FALSE)-VLOOKUP(F53,$T$3:$U$8,2,FALSE))*IF(D53="High",3,IF(D53="Medium",2,1))*6.67)</f>
        <v/>
      </c>
      <c r="K53" s="7">
        <f>IF(B53="","",IF(VLOOKUP(B53,$N$3:$R$14,5,FALSE)&lt;=2,1,1-((IF(AND($B$4="Executive Sponsor",OR($F$4="Committed",$F$4="Advocating")),0.3,0))+(IF(AND($B$5="Senior Leadership",OR($F$5="Committed",$F$5="Advocating")),0.2,0)))))</f>
        <v/>
      </c>
      <c r="L53" s="7">
        <f>IF(OR(J53="",K53=""),"",MAX(0,ROUND(J53*K53,0)))</f>
        <v/>
      </c>
    </row>
  </sheetData>
  <mergeCells count="1">
    <mergeCell ref="N1:R1"/>
  </mergeCells>
  <dataValidations count="2">
    <dataValidation sqref="B4:B53" showDropDown="0" showInputMessage="0" showErrorMessage="0" allowBlank="1" type="list">
      <formula1>$N$3:$N$14</formula1>
    </dataValidation>
    <dataValidation sqref="F4:G53" showDropDown="0" showInputMessage="0" showErrorMessage="0" allowBlank="1" type="list">
      <formula1>"Unaware,Aware,Understanding,Buy-in,Committed,Advocating"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xSplit="8" topLeftCell="I1" activePane="topRight" state="frozen"/>
      <selection pane="topRight"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20" customWidth="1" min="4" max="4"/>
    <col width="18" customWidth="1" min="5" max="5"/>
    <col width="12" customWidth="1" min="6" max="6"/>
    <col width="30" customWidth="1" min="7" max="7"/>
    <col width="45" customWidth="1" min="9" max="9"/>
  </cols>
  <sheetData>
    <row r="1">
      <c r="I1" s="2" t="inlineStr">
        <is>
          <t>INSTRUCTIONS</t>
        </is>
      </c>
    </row>
    <row r="2">
      <c r="A2" s="5" t="inlineStr">
        <is>
          <t>Message</t>
        </is>
      </c>
      <c r="B2" s="5" t="inlineStr">
        <is>
          <t>Audience</t>
        </is>
      </c>
      <c r="C2" s="5" t="inlineStr">
        <is>
          <t>Channel</t>
        </is>
      </c>
      <c r="D2" s="5" t="inlineStr">
        <is>
          <t>Sender</t>
        </is>
      </c>
      <c r="E2" s="5" t="inlineStr">
        <is>
          <t>Timing</t>
        </is>
      </c>
      <c r="F2" s="5" t="inlineStr">
        <is>
          <t>Status</t>
        </is>
      </c>
      <c r="G2" s="5" t="inlineStr">
        <is>
          <t>Notes</t>
        </is>
      </c>
    </row>
    <row r="3">
      <c r="A3" s="9" t="inlineStr">
        <is>
          <t>Vision announcement</t>
        </is>
      </c>
      <c r="B3" s="9" t="inlineStr">
        <is>
          <t>All staff</t>
        </is>
      </c>
      <c r="C3" s="9" t="inlineStr">
        <is>
          <t>Town Hall</t>
        </is>
      </c>
      <c r="D3" s="9" t="inlineStr">
        <is>
          <t>CEO</t>
        </is>
      </c>
      <c r="E3" s="9" t="inlineStr">
        <is>
          <t>Week 1</t>
        </is>
      </c>
      <c r="F3" s="9" t="inlineStr"/>
      <c r="G3" s="9" t="inlineStr"/>
      <c r="I3" s="4" t="inlineStr">
        <is>
          <t>PURPOSE</t>
        </is>
      </c>
    </row>
    <row r="4">
      <c r="A4" s="9" t="inlineStr">
        <is>
          <t>Department briefing</t>
        </is>
      </c>
      <c r="B4" s="9" t="inlineStr">
        <is>
          <t>Department heads</t>
        </is>
      </c>
      <c r="C4" s="9" t="inlineStr">
        <is>
          <t>Meeting</t>
        </is>
      </c>
      <c r="D4" s="9" t="inlineStr">
        <is>
          <t>Project Sponsor</t>
        </is>
      </c>
      <c r="E4" s="9" t="inlineStr">
        <is>
          <t>Week 2</t>
        </is>
      </c>
      <c r="F4" s="9" t="inlineStr"/>
      <c r="G4" s="9" t="inlineStr"/>
      <c r="I4" s="6" t="inlineStr">
        <is>
          <t>Plan and track all change</t>
        </is>
      </c>
    </row>
    <row r="5">
      <c r="A5" s="9" t="inlineStr">
        <is>
          <t>Timeline communication</t>
        </is>
      </c>
      <c r="B5" s="9" t="inlineStr">
        <is>
          <t>All affected</t>
        </is>
      </c>
      <c r="C5" s="9" t="inlineStr">
        <is>
          <t>Email</t>
        </is>
      </c>
      <c r="D5" s="9" t="inlineStr">
        <is>
          <t>Change Manager</t>
        </is>
      </c>
      <c r="E5" s="9" t="inlineStr">
        <is>
          <t>Week 3</t>
        </is>
      </c>
      <c r="F5" s="9" t="inlineStr"/>
      <c r="G5" s="9" t="inlineStr"/>
      <c r="I5" s="6" t="inlineStr">
        <is>
          <t>communications across</t>
        </is>
      </c>
    </row>
    <row r="6">
      <c r="A6" s="9" t="inlineStr">
        <is>
          <t>Training announcement</t>
        </is>
      </c>
      <c r="B6" s="9" t="inlineStr">
        <is>
          <t>End users</t>
        </is>
      </c>
      <c r="C6" s="9" t="inlineStr">
        <is>
          <t>Intranet</t>
        </is>
      </c>
      <c r="D6" s="9" t="inlineStr">
        <is>
          <t>HR/Training</t>
        </is>
      </c>
      <c r="E6" s="9" t="inlineStr">
        <is>
          <t>Week 4</t>
        </is>
      </c>
      <c r="F6" s="9" t="inlineStr"/>
      <c r="G6" s="9" t="inlineStr"/>
      <c r="I6" s="6" t="inlineStr">
        <is>
          <t>stakeholder groups.</t>
        </is>
      </c>
    </row>
    <row r="7">
      <c r="A7" s="9" t="inlineStr">
        <is>
          <t>Go-live notification</t>
        </is>
      </c>
      <c r="B7" s="9" t="inlineStr">
        <is>
          <t>All staff</t>
        </is>
      </c>
      <c r="C7" s="9" t="inlineStr">
        <is>
          <t>Email + Intranet</t>
        </is>
      </c>
      <c r="D7" s="9" t="inlineStr">
        <is>
          <t>IT Director</t>
        </is>
      </c>
      <c r="E7" s="9" t="inlineStr">
        <is>
          <t>Go-live -1 week</t>
        </is>
      </c>
      <c r="F7" s="9" t="inlineStr"/>
      <c r="G7" s="9" t="inlineStr"/>
    </row>
    <row r="8">
      <c r="A8" s="9" t="n"/>
      <c r="B8" s="9" t="n"/>
      <c r="C8" s="9" t="n"/>
      <c r="D8" s="9" t="n"/>
      <c r="E8" s="9" t="n"/>
      <c r="F8" s="9" t="n"/>
      <c r="G8" s="9" t="n"/>
      <c r="I8" s="4" t="inlineStr">
        <is>
          <t>KEY PRINCIPLES</t>
        </is>
      </c>
    </row>
    <row r="9">
      <c r="A9" s="9" t="n"/>
      <c r="B9" s="9" t="n"/>
      <c r="C9" s="9" t="n"/>
      <c r="D9" s="9" t="n"/>
      <c r="E9" s="9" t="n"/>
      <c r="F9" s="9" t="n"/>
      <c r="G9" s="9" t="n"/>
      <c r="I9" s="6" t="inlineStr">
        <is>
          <t>- Right message, right time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I10" s="6" t="inlineStr">
        <is>
          <t>- Appropriate channels</t>
        </is>
      </c>
    </row>
    <row r="11">
      <c r="A11" s="9" t="n"/>
      <c r="B11" s="9" t="n"/>
      <c r="C11" s="9" t="n"/>
      <c r="D11" s="9" t="n"/>
      <c r="E11" s="9" t="n"/>
      <c r="F11" s="9" t="n"/>
      <c r="G11" s="9" t="n"/>
      <c r="I11" s="6" t="inlineStr">
        <is>
          <t>- Credible senders</t>
        </is>
      </c>
    </row>
    <row r="12">
      <c r="A12" s="9" t="n"/>
      <c r="B12" s="9" t="n"/>
      <c r="C12" s="9" t="n"/>
      <c r="D12" s="9" t="n"/>
      <c r="E12" s="9" t="n"/>
      <c r="F12" s="9" t="n"/>
      <c r="G12" s="9" t="n"/>
      <c r="I12" s="6" t="inlineStr">
        <is>
          <t>- Two-way communication</t>
        </is>
      </c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9" t="n"/>
      <c r="B14" s="9" t="n"/>
      <c r="C14" s="9" t="n"/>
      <c r="D14" s="9" t="n"/>
      <c r="E14" s="9" t="n"/>
      <c r="F14" s="9" t="n"/>
      <c r="G14" s="9" t="n"/>
      <c r="I14" s="4" t="inlineStr">
        <is>
          <t>CHANNELS</t>
        </is>
      </c>
    </row>
    <row r="15">
      <c r="A15" s="9" t="n"/>
      <c r="B15" s="9" t="n"/>
      <c r="C15" s="9" t="n"/>
      <c r="D15" s="9" t="n"/>
      <c r="E15" s="9" t="n"/>
      <c r="F15" s="9" t="n"/>
      <c r="G15" s="9" t="n"/>
      <c r="I15" s="6" t="inlineStr">
        <is>
          <t>Email - Wide reach, formal</t>
        </is>
      </c>
    </row>
    <row r="16">
      <c r="A16" s="9" t="n"/>
      <c r="B16" s="9" t="n"/>
      <c r="C16" s="9" t="n"/>
      <c r="D16" s="9" t="n"/>
      <c r="E16" s="9" t="n"/>
      <c r="F16" s="9" t="n"/>
      <c r="G16" s="9" t="n"/>
      <c r="I16" s="6" t="inlineStr">
        <is>
          <t>Meeting - Interactive, Q&amp;A</t>
        </is>
      </c>
    </row>
    <row r="17">
      <c r="A17" s="9" t="n"/>
      <c r="B17" s="9" t="n"/>
      <c r="C17" s="9" t="n"/>
      <c r="D17" s="9" t="n"/>
      <c r="E17" s="9" t="n"/>
      <c r="F17" s="9" t="n"/>
      <c r="G17" s="9" t="n"/>
      <c r="I17" s="6" t="inlineStr">
        <is>
          <t>Town Hall - Leadership visibility</t>
        </is>
      </c>
    </row>
    <row r="18">
      <c r="A18" s="9" t="n"/>
      <c r="B18" s="9" t="n"/>
      <c r="C18" s="9" t="n"/>
      <c r="D18" s="9" t="n"/>
      <c r="E18" s="9" t="n"/>
      <c r="F18" s="9" t="n"/>
      <c r="G18" s="9" t="n"/>
      <c r="I18" s="6" t="inlineStr">
        <is>
          <t>Intranet - Reference info</t>
        </is>
      </c>
    </row>
    <row r="19">
      <c r="A19" s="9" t="n"/>
      <c r="B19" s="9" t="n"/>
      <c r="C19" s="9" t="n"/>
      <c r="D19" s="9" t="n"/>
      <c r="E19" s="9" t="n"/>
      <c r="F19" s="9" t="n"/>
      <c r="G19" s="9" t="n"/>
      <c r="I19" s="6" t="inlineStr">
        <is>
          <t>Video - Engaging, repeatable</t>
        </is>
      </c>
    </row>
    <row r="20">
      <c r="A20" s="9" t="n"/>
      <c r="B20" s="9" t="n"/>
      <c r="C20" s="9" t="n"/>
      <c r="D20" s="9" t="n"/>
      <c r="E20" s="9" t="n"/>
      <c r="F20" s="9" t="n"/>
      <c r="G20" s="9" t="n"/>
    </row>
    <row r="21">
      <c r="A21" s="9" t="n"/>
      <c r="B21" s="9" t="n"/>
      <c r="C21" s="9" t="n"/>
      <c r="D21" s="9" t="n"/>
      <c r="E21" s="9" t="n"/>
      <c r="F21" s="9" t="n"/>
      <c r="G21" s="9" t="n"/>
      <c r="I21" s="4" t="inlineStr">
        <is>
          <t>TIP</t>
        </is>
      </c>
    </row>
    <row r="22">
      <c r="A22" s="9" t="n"/>
      <c r="B22" s="9" t="n"/>
      <c r="C22" s="9" t="n"/>
      <c r="D22" s="9" t="n"/>
      <c r="E22" s="9" t="n"/>
      <c r="F22" s="9" t="n"/>
      <c r="G22" s="9" t="n"/>
      <c r="I22" s="6" t="inlineStr">
        <is>
          <t>Managers are the preferred</t>
        </is>
      </c>
    </row>
    <row r="23">
      <c r="A23" s="9" t="n"/>
      <c r="B23" s="9" t="n"/>
      <c r="C23" s="9" t="n"/>
      <c r="D23" s="9" t="n"/>
      <c r="E23" s="9" t="n"/>
      <c r="F23" s="9" t="n"/>
      <c r="G23" s="9" t="n"/>
      <c r="I23" s="6" t="inlineStr">
        <is>
          <t>channel for change details</t>
        </is>
      </c>
    </row>
    <row r="24">
      <c r="A24" s="9" t="n"/>
      <c r="B24" s="9" t="n"/>
      <c r="C24" s="9" t="n"/>
      <c r="D24" s="9" t="n"/>
      <c r="E24" s="9" t="n"/>
      <c r="F24" s="9" t="n"/>
      <c r="G24" s="9" t="n"/>
      <c r="I24" s="6" t="inlineStr">
        <is>
          <t>affecting their teams.</t>
        </is>
      </c>
    </row>
    <row r="25">
      <c r="A25" s="9" t="n"/>
      <c r="B25" s="9" t="n"/>
      <c r="C25" s="9" t="n"/>
      <c r="D25" s="9" t="n"/>
      <c r="E25" s="9" t="n"/>
      <c r="F25" s="9" t="n"/>
      <c r="G25" s="9" t="n"/>
    </row>
    <row r="26">
      <c r="A26" s="9" t="n"/>
      <c r="B26" s="9" t="n"/>
      <c r="C26" s="9" t="n"/>
      <c r="D26" s="9" t="n"/>
      <c r="E26" s="9" t="n"/>
      <c r="F26" s="9" t="n"/>
      <c r="G26" s="9" t="n"/>
    </row>
    <row r="27">
      <c r="A27" s="9" t="n"/>
      <c r="B27" s="9" t="n"/>
      <c r="C27" s="9" t="n"/>
      <c r="D27" s="9" t="n"/>
      <c r="E27" s="9" t="n"/>
      <c r="F27" s="9" t="n"/>
      <c r="G27" s="9" t="n"/>
    </row>
    <row r="28">
      <c r="A28" s="9" t="n"/>
      <c r="B28" s="9" t="n"/>
      <c r="C28" s="9" t="n"/>
      <c r="D28" s="9" t="n"/>
      <c r="E28" s="9" t="n"/>
      <c r="F28" s="9" t="n"/>
      <c r="G28" s="9" t="n"/>
    </row>
    <row r="29">
      <c r="A29" s="9" t="n"/>
      <c r="B29" s="9" t="n"/>
      <c r="C29" s="9" t="n"/>
      <c r="D29" s="9" t="n"/>
      <c r="E29" s="9" t="n"/>
      <c r="F29" s="9" t="n"/>
      <c r="G29" s="9" t="n"/>
    </row>
    <row r="30">
      <c r="A30" s="9" t="n"/>
      <c r="B30" s="9" t="n"/>
      <c r="C30" s="9" t="n"/>
      <c r="D30" s="9" t="n"/>
      <c r="E30" s="9" t="n"/>
      <c r="F30" s="9" t="n"/>
      <c r="G30" s="9" t="n"/>
    </row>
    <row r="31">
      <c r="A31" s="9" t="n"/>
      <c r="B31" s="9" t="n"/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</sheetData>
  <mergeCells count="1">
    <mergeCell ref="I1:J1"/>
  </mergeCells>
  <dataValidations count="2">
    <dataValidation sqref="F3:F32" showDropDown="0" showInputMessage="0" showErrorMessage="0" allowBlank="1" type="list">
      <formula1>"Draft,Approved,Sent,Complete"</formula1>
    </dataValidation>
    <dataValidation sqref="C3:C32" showDropDown="0" showInputMessage="0" showErrorMessage="0" allowBlank="1" type="list">
      <formula1>"Email,Meeting,Town Hall,Intranet,Newsletter,Video,Training,Other"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9" topLeftCell="J1" activePane="topRight" state="frozen"/>
      <selection pane="topRight" activeCell="A1" sqref="A1"/>
    </sheetView>
  </sheetViews>
  <sheetFormatPr baseColWidth="8" defaultRowHeight="15"/>
  <cols>
    <col width="25" customWidth="1" min="1" max="1"/>
    <col width="18" customWidth="1" min="2" max="2"/>
    <col width="12" customWidth="1" min="3" max="3"/>
    <col width="12" customWidth="1" min="4" max="4"/>
    <col width="18" customWidth="1" min="5" max="5"/>
    <col width="12" customWidth="1" min="6" max="6"/>
    <col width="12" customWidth="1" min="7" max="7"/>
    <col width="14" customWidth="1" min="8" max="8"/>
    <col width="45" customWidth="1" min="10" max="10"/>
  </cols>
  <sheetData>
    <row r="1">
      <c r="J1" s="2" t="inlineStr">
        <is>
          <t>INSTRUCTIONS</t>
        </is>
      </c>
    </row>
    <row r="2">
      <c r="A2" s="5" t="inlineStr">
        <is>
          <t>Training Module</t>
        </is>
      </c>
      <c r="B2" s="5" t="inlineStr">
        <is>
          <t>Target Audience</t>
        </is>
      </c>
      <c r="C2" s="5" t="inlineStr">
        <is>
          <t>Format</t>
        </is>
      </c>
      <c r="D2" s="5" t="inlineStr">
        <is>
          <t>Duration</t>
        </is>
      </c>
      <c r="E2" s="5" t="inlineStr">
        <is>
          <t>Trainer</t>
        </is>
      </c>
      <c r="F2" s="5" t="inlineStr">
        <is>
          <t>Date</t>
        </is>
      </c>
      <c r="G2" s="5" t="inlineStr">
        <is>
          <t>Attendance</t>
        </is>
      </c>
      <c r="H2" s="5" t="inlineStr">
        <is>
          <t>Completion %</t>
        </is>
      </c>
    </row>
    <row r="3">
      <c r="A3" s="9" t="inlineStr">
        <is>
          <t>System Overview</t>
        </is>
      </c>
      <c r="B3" s="9" t="inlineStr">
        <is>
          <t>All users</t>
        </is>
      </c>
      <c r="C3" s="7" t="inlineStr">
        <is>
          <t>eLearning</t>
        </is>
      </c>
      <c r="D3" s="7" t="inlineStr">
        <is>
          <t>1 hour</t>
        </is>
      </c>
      <c r="E3" s="7" t="inlineStr"/>
      <c r="F3" s="7" t="inlineStr"/>
      <c r="G3" s="7" t="inlineStr"/>
      <c r="H3" s="7" t="inlineStr"/>
      <c r="J3" s="4" t="inlineStr">
        <is>
          <t>PURPOSE</t>
        </is>
      </c>
    </row>
    <row r="4">
      <c r="A4" s="9" t="inlineStr">
        <is>
          <t>Basic Functions</t>
        </is>
      </c>
      <c r="B4" s="9" t="inlineStr">
        <is>
          <t>End users</t>
        </is>
      </c>
      <c r="C4" s="7" t="inlineStr">
        <is>
          <t>Classroom</t>
        </is>
      </c>
      <c r="D4" s="7" t="inlineStr">
        <is>
          <t>2 hours</t>
        </is>
      </c>
      <c r="E4" s="7" t="inlineStr"/>
      <c r="F4" s="7" t="inlineStr"/>
      <c r="G4" s="7" t="inlineStr"/>
      <c r="H4" s="7" t="inlineStr"/>
      <c r="J4" s="6" t="inlineStr">
        <is>
          <t>Plan and track training</t>
        </is>
      </c>
    </row>
    <row r="5">
      <c r="A5" s="9" t="inlineStr">
        <is>
          <t>Advanced Features</t>
        </is>
      </c>
      <c r="B5" s="9" t="inlineStr">
        <is>
          <t>Power users</t>
        </is>
      </c>
      <c r="C5" s="7" t="inlineStr">
        <is>
          <t>Workshop</t>
        </is>
      </c>
      <c r="D5" s="7" t="inlineStr">
        <is>
          <t>4 hours</t>
        </is>
      </c>
      <c r="E5" s="7" t="inlineStr"/>
      <c r="F5" s="7" t="inlineStr"/>
      <c r="G5" s="7" t="inlineStr"/>
      <c r="H5" s="7" t="inlineStr"/>
      <c r="J5" s="6" t="inlineStr">
        <is>
          <t>delivery for all audiences.</t>
        </is>
      </c>
    </row>
    <row r="6">
      <c r="A6" s="9" t="inlineStr">
        <is>
          <t>Admin Training</t>
        </is>
      </c>
      <c r="B6" s="9" t="inlineStr">
        <is>
          <t>IT Support</t>
        </is>
      </c>
      <c r="C6" s="7" t="inlineStr">
        <is>
          <t>Hands-on</t>
        </is>
      </c>
      <c r="D6" s="7" t="inlineStr">
        <is>
          <t>1 day</t>
        </is>
      </c>
      <c r="E6" s="7" t="inlineStr"/>
      <c r="F6" s="7" t="inlineStr"/>
      <c r="G6" s="7" t="inlineStr"/>
      <c r="H6" s="7" t="inlineStr"/>
    </row>
    <row r="7">
      <c r="A7" s="9" t="inlineStr">
        <is>
          <t>Manager Briefing</t>
        </is>
      </c>
      <c r="B7" s="9" t="inlineStr">
        <is>
          <t>Managers</t>
        </is>
      </c>
      <c r="C7" s="7" t="inlineStr">
        <is>
          <t>Meeting</t>
        </is>
      </c>
      <c r="D7" s="7" t="inlineStr">
        <is>
          <t>1 hour</t>
        </is>
      </c>
      <c r="E7" s="7" t="inlineStr"/>
      <c r="F7" s="7" t="inlineStr"/>
      <c r="G7" s="7" t="inlineStr"/>
      <c r="H7" s="7" t="inlineStr"/>
      <c r="J7" s="4" t="inlineStr">
        <is>
          <t>FORMATS</t>
        </is>
      </c>
    </row>
    <row r="8">
      <c r="A8" s="9" t="n"/>
      <c r="B8" s="9" t="n"/>
      <c r="C8" s="9" t="n"/>
      <c r="D8" s="9" t="n"/>
      <c r="E8" s="9" t="n"/>
      <c r="F8" s="9" t="n"/>
      <c r="G8" s="9" t="n"/>
      <c r="H8" s="9">
        <f>IF(G8="","",G8/VLOOKUP(B8,A3:G7,7,FALSE))</f>
        <v/>
      </c>
      <c r="J8" s="6" t="inlineStr">
        <is>
          <t>eLearning - Self-paced online</t>
        </is>
      </c>
    </row>
    <row r="9">
      <c r="A9" s="9" t="n"/>
      <c r="B9" s="9" t="n"/>
      <c r="C9" s="9" t="n"/>
      <c r="D9" s="9" t="n"/>
      <c r="E9" s="9" t="n"/>
      <c r="F9" s="9" t="n"/>
      <c r="G9" s="9" t="n"/>
      <c r="H9" s="9">
        <f>IF(G9="","",G9/VLOOKUP(B9,A3:G7,7,FALSE))</f>
        <v/>
      </c>
      <c r="J9" s="6" t="inlineStr">
        <is>
          <t>Classroom - Instructor-led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>
        <f>IF(G10="","",G10/VLOOKUP(B10,A3:G7,7,FALSE))</f>
        <v/>
      </c>
      <c r="J10" s="6" t="inlineStr">
        <is>
          <t>Workshop - Hands-on practice</t>
        </is>
      </c>
    </row>
    <row r="11">
      <c r="A11" s="9" t="n"/>
      <c r="B11" s="9" t="n"/>
      <c r="C11" s="9" t="n"/>
      <c r="D11" s="9" t="n"/>
      <c r="E11" s="9" t="n"/>
      <c r="F11" s="9" t="n"/>
      <c r="G11" s="9" t="n"/>
      <c r="H11" s="9">
        <f>IF(G11="","",G11/VLOOKUP(B11,A3:G7,7,FALSE))</f>
        <v/>
      </c>
      <c r="J11" s="6" t="inlineStr">
        <is>
          <t>Hands-on - System access</t>
        </is>
      </c>
    </row>
    <row r="12">
      <c r="A12" s="9" t="n"/>
      <c r="B12" s="9" t="n"/>
      <c r="C12" s="9" t="n"/>
      <c r="D12" s="9" t="n"/>
      <c r="E12" s="9" t="n"/>
      <c r="F12" s="9" t="n"/>
      <c r="G12" s="9" t="n"/>
      <c r="H12" s="9">
        <f>IF(G12="","",G12/VLOOKUP(B12,A3:G7,7,FALSE))</f>
        <v/>
      </c>
      <c r="J12" s="6" t="inlineStr">
        <is>
          <t>Meeting - Q&amp;A focused</t>
        </is>
      </c>
    </row>
    <row r="13">
      <c r="A13" s="9" t="n"/>
      <c r="B13" s="9" t="n"/>
      <c r="C13" s="9" t="n"/>
      <c r="D13" s="9" t="n"/>
      <c r="E13" s="9" t="n"/>
      <c r="F13" s="9" t="n"/>
      <c r="G13" s="9" t="n"/>
      <c r="H13" s="9">
        <f>IF(G13="","",G13/VLOOKUP(B13,A3:G7,7,FALSE))</f>
        <v/>
      </c>
    </row>
    <row r="14">
      <c r="A14" s="9" t="n"/>
      <c r="B14" s="9" t="n"/>
      <c r="C14" s="9" t="n"/>
      <c r="D14" s="9" t="n"/>
      <c r="E14" s="9" t="n"/>
      <c r="F14" s="9" t="n"/>
      <c r="G14" s="9" t="n"/>
      <c r="H14" s="9">
        <f>IF(G14="","",G14/VLOOKUP(B14,A3:G7,7,FALSE))</f>
        <v/>
      </c>
      <c r="J14" s="4" t="inlineStr">
        <is>
          <t>BEST PRACTICES</t>
        </is>
      </c>
    </row>
    <row r="15">
      <c r="A15" s="9" t="n"/>
      <c r="B15" s="9" t="n"/>
      <c r="C15" s="9" t="n"/>
      <c r="D15" s="9" t="n"/>
      <c r="E15" s="9" t="n"/>
      <c r="F15" s="9" t="n"/>
      <c r="G15" s="9" t="n"/>
      <c r="H15" s="9">
        <f>IF(G15="","",G15/VLOOKUP(B15,A3:G7,7,FALSE))</f>
        <v/>
      </c>
      <c r="J15" s="6" t="inlineStr">
        <is>
          <t>- Role-based curriculum</t>
        </is>
      </c>
    </row>
    <row r="16">
      <c r="A16" s="9" t="n"/>
      <c r="B16" s="9" t="n"/>
      <c r="C16" s="9" t="n"/>
      <c r="D16" s="9" t="n"/>
      <c r="E16" s="9" t="n"/>
      <c r="F16" s="9" t="n"/>
      <c r="G16" s="9" t="n"/>
      <c r="H16" s="9">
        <f>IF(G16="","",G16/VLOOKUP(B16,A3:G7,7,FALSE))</f>
        <v/>
      </c>
      <c r="J16" s="6" t="inlineStr">
        <is>
          <t>- Practice opportunities</t>
        </is>
      </c>
    </row>
    <row r="17">
      <c r="A17" s="9" t="n"/>
      <c r="B17" s="9" t="n"/>
      <c r="C17" s="9" t="n"/>
      <c r="D17" s="9" t="n"/>
      <c r="E17" s="9" t="n"/>
      <c r="F17" s="9" t="n"/>
      <c r="G17" s="9" t="n"/>
      <c r="H17" s="9">
        <f>IF(G17="","",G17/VLOOKUP(B17,A3:G7,7,FALSE))</f>
        <v/>
      </c>
      <c r="J17" s="6" t="inlineStr">
        <is>
          <t>- Just-in-time delivery</t>
        </is>
      </c>
    </row>
    <row r="18">
      <c r="A18" s="9" t="n"/>
      <c r="B18" s="9" t="n"/>
      <c r="C18" s="9" t="n"/>
      <c r="D18" s="9" t="n"/>
      <c r="E18" s="9" t="n"/>
      <c r="F18" s="9" t="n"/>
      <c r="G18" s="9" t="n"/>
      <c r="H18" s="9">
        <f>IF(G18="","",G18/VLOOKUP(B18,A3:G7,7,FALSE))</f>
        <v/>
      </c>
      <c r="J18" s="6" t="inlineStr">
        <is>
          <t>- Post-training support</t>
        </is>
      </c>
    </row>
    <row r="19">
      <c r="A19" s="9" t="n"/>
      <c r="B19" s="9" t="n"/>
      <c r="C19" s="9" t="n"/>
      <c r="D19" s="9" t="n"/>
      <c r="E19" s="9" t="n"/>
      <c r="F19" s="9" t="n"/>
      <c r="G19" s="9" t="n"/>
      <c r="H19" s="9">
        <f>IF(G19="","",G19/VLOOKUP(B19,A3:G7,7,FALSE))</f>
        <v/>
      </c>
    </row>
    <row r="20">
      <c r="A20" s="9" t="n"/>
      <c r="B20" s="9" t="n"/>
      <c r="C20" s="9" t="n"/>
      <c r="D20" s="9" t="n"/>
      <c r="E20" s="9" t="n"/>
      <c r="F20" s="9" t="n"/>
      <c r="G20" s="9" t="n"/>
      <c r="H20" s="9">
        <f>IF(G20="","",G20/VLOOKUP(B20,A3:G7,7,FALSE))</f>
        <v/>
      </c>
      <c r="J20" s="4" t="inlineStr">
        <is>
          <t>TIP</t>
        </is>
      </c>
    </row>
    <row r="21">
      <c r="A21" s="9" t="n"/>
      <c r="B21" s="9" t="n"/>
      <c r="C21" s="9" t="n"/>
      <c r="D21" s="9" t="n"/>
      <c r="E21" s="9" t="n"/>
      <c r="F21" s="9" t="n"/>
      <c r="G21" s="9" t="n"/>
      <c r="H21" s="9">
        <f>IF(G21="","",G21/VLOOKUP(B21,A3:G7,7,FALSE))</f>
        <v/>
      </c>
      <c r="J21" s="6" t="inlineStr">
        <is>
          <t>Track completion rates</t>
        </is>
      </c>
    </row>
    <row r="22">
      <c r="A22" s="9" t="n"/>
      <c r="B22" s="9" t="n"/>
      <c r="C22" s="9" t="n"/>
      <c r="D22" s="9" t="n"/>
      <c r="E22" s="9" t="n"/>
      <c r="F22" s="9" t="n"/>
      <c r="G22" s="9" t="n"/>
      <c r="H22" s="9">
        <f>IF(G22="","",G22/VLOOKUP(B22,A3:G7,7,FALSE))</f>
        <v/>
      </c>
      <c r="J22" s="6" t="inlineStr">
        <is>
          <t>and follow up with</t>
        </is>
      </c>
    </row>
    <row r="23">
      <c r="A23" s="9" t="n"/>
      <c r="B23" s="9" t="n"/>
      <c r="C23" s="9" t="n"/>
      <c r="D23" s="9" t="n"/>
      <c r="E23" s="9" t="n"/>
      <c r="F23" s="9" t="n"/>
      <c r="G23" s="9" t="n"/>
      <c r="H23" s="9">
        <f>IF(G23="","",G23/VLOOKUP(B23,A3:G7,7,FALSE))</f>
        <v/>
      </c>
      <c r="J23" s="6" t="inlineStr">
        <is>
          <t>non-completers.</t>
        </is>
      </c>
    </row>
    <row r="24">
      <c r="A24" s="9" t="n"/>
      <c r="B24" s="9" t="n"/>
      <c r="C24" s="9" t="n"/>
      <c r="D24" s="9" t="n"/>
      <c r="E24" s="9" t="n"/>
      <c r="F24" s="9" t="n"/>
      <c r="G24" s="9" t="n"/>
      <c r="H24" s="9">
        <f>IF(G24="","",G24/VLOOKUP(B24,A3:G7,7,FALSE))</f>
        <v/>
      </c>
    </row>
    <row r="25">
      <c r="A25" s="9" t="n"/>
      <c r="B25" s="9" t="n"/>
      <c r="C25" s="9" t="n"/>
      <c r="D25" s="9" t="n"/>
      <c r="E25" s="9" t="n"/>
      <c r="F25" s="9" t="n"/>
      <c r="G25" s="9" t="n"/>
      <c r="H25" s="9">
        <f>IF(G25="","",G25/VLOOKUP(B25,A3:G7,7,FALSE))</f>
        <v/>
      </c>
    </row>
    <row r="26">
      <c r="A26" s="9" t="n"/>
      <c r="B26" s="9" t="n"/>
      <c r="C26" s="9" t="n"/>
      <c r="D26" s="9" t="n"/>
      <c r="E26" s="9" t="n"/>
      <c r="F26" s="9" t="n"/>
      <c r="G26" s="9" t="n"/>
      <c r="H26" s="9">
        <f>IF(G26="","",G26/VLOOKUP(B26,A3:G7,7,FALSE))</f>
        <v/>
      </c>
    </row>
    <row r="27">
      <c r="A27" s="9" t="n"/>
      <c r="B27" s="9" t="n"/>
      <c r="C27" s="9" t="n"/>
      <c r="D27" s="9" t="n"/>
      <c r="E27" s="9" t="n"/>
      <c r="F27" s="9" t="n"/>
      <c r="G27" s="9" t="n"/>
      <c r="H27" s="9">
        <f>IF(G27="","",G27/VLOOKUP(B27,A3:G7,7,FALSE))</f>
        <v/>
      </c>
    </row>
  </sheetData>
  <mergeCells count="1">
    <mergeCell ref="J1:K1"/>
  </mergeCells>
  <dataValidations count="1">
    <dataValidation sqref="C3:C27" showDropDown="0" showInputMessage="0" showErrorMessage="0" allowBlank="1" type="list">
      <formula1>"eLearning,Classroom,Workshop,Hands-on,Meeting,Video,Self-study"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xSplit="8" topLeftCell="I1" activePane="topRight" state="frozen"/>
      <selection pane="topRight" activeCell="A1" sqref="A1"/>
    </sheetView>
  </sheetViews>
  <sheetFormatPr baseColWidth="8" defaultRowHeight="15"/>
  <cols>
    <col width="20" customWidth="1" min="1" max="1"/>
    <col width="18" customWidth="1" min="2" max="2"/>
    <col width="30" customWidth="1" min="3" max="3"/>
    <col width="12" customWidth="1" min="4" max="4"/>
    <col width="12" customWidth="1" min="5" max="5"/>
    <col width="18" customWidth="1" min="6" max="6"/>
    <col width="30" customWidth="1" min="7" max="7"/>
    <col width="45" customWidth="1" min="9" max="9"/>
  </cols>
  <sheetData>
    <row r="1">
      <c r="I1" s="2" t="inlineStr">
        <is>
          <t>INSTRUCTIONS</t>
        </is>
      </c>
    </row>
    <row r="2">
      <c r="A2" s="5" t="inlineStr">
        <is>
          <t>Sponsor</t>
        </is>
      </c>
      <c r="B2" s="5" t="inlineStr">
        <is>
          <t>Role</t>
        </is>
      </c>
      <c r="C2" s="5" t="inlineStr">
        <is>
          <t>Activity</t>
        </is>
      </c>
      <c r="D2" s="5" t="inlineStr">
        <is>
          <t>Due Date</t>
        </is>
      </c>
      <c r="E2" s="5" t="inlineStr">
        <is>
          <t>Status</t>
        </is>
      </c>
      <c r="F2" s="5" t="inlineStr">
        <is>
          <t>Effectiveness</t>
        </is>
      </c>
      <c r="G2" s="5" t="inlineStr">
        <is>
          <t>Notes</t>
        </is>
      </c>
    </row>
    <row r="3">
      <c r="A3" s="9" t="inlineStr"/>
      <c r="B3" s="9" t="inlineStr">
        <is>
          <t>Executive Sponsor</t>
        </is>
      </c>
      <c r="C3" s="9" t="inlineStr">
        <is>
          <t>Kick-off announcement</t>
        </is>
      </c>
      <c r="D3" s="9" t="inlineStr"/>
      <c r="E3" s="9" t="inlineStr"/>
      <c r="F3" s="9" t="inlineStr"/>
      <c r="G3" s="9" t="inlineStr"/>
      <c r="I3" s="4" t="inlineStr">
        <is>
          <t>PURPOSE</t>
        </is>
      </c>
    </row>
    <row r="4">
      <c r="A4" s="9" t="inlineStr"/>
      <c r="B4" s="9" t="inlineStr">
        <is>
          <t>Executive Sponsor</t>
        </is>
      </c>
      <c r="C4" s="9" t="inlineStr">
        <is>
          <t>Monthly steering committee</t>
        </is>
      </c>
      <c r="D4" s="9" t="inlineStr"/>
      <c r="E4" s="9" t="inlineStr"/>
      <c r="F4" s="9" t="inlineStr"/>
      <c r="G4" s="9" t="inlineStr"/>
      <c r="I4" s="6" t="inlineStr">
        <is>
          <t>Track sponsor activities</t>
        </is>
      </c>
    </row>
    <row r="5">
      <c r="A5" s="9" t="inlineStr"/>
      <c r="B5" s="9" t="inlineStr">
        <is>
          <t>Executive Sponsor</t>
        </is>
      </c>
      <c r="C5" s="9" t="inlineStr">
        <is>
          <t>Quarterly all-hands update</t>
        </is>
      </c>
      <c r="D5" s="9" t="inlineStr"/>
      <c r="E5" s="9" t="inlineStr"/>
      <c r="F5" s="9" t="inlineStr"/>
      <c r="G5" s="9" t="inlineStr"/>
      <c r="I5" s="6" t="inlineStr">
        <is>
          <t>and effectiveness to ensure</t>
        </is>
      </c>
    </row>
    <row r="6">
      <c r="A6" s="9" t="inlineStr"/>
      <c r="B6" s="9" t="inlineStr">
        <is>
          <t>Project Sponsor</t>
        </is>
      </c>
      <c r="C6" s="9" t="inlineStr">
        <is>
          <t>Weekly project reviews</t>
        </is>
      </c>
      <c r="D6" s="9" t="inlineStr"/>
      <c r="E6" s="9" t="inlineStr"/>
      <c r="F6" s="9" t="inlineStr"/>
      <c r="G6" s="9" t="inlineStr"/>
      <c r="I6" s="6" t="inlineStr">
        <is>
          <t>visible leadership support.</t>
        </is>
      </c>
    </row>
    <row r="7">
      <c r="A7" s="9" t="inlineStr"/>
      <c r="B7" s="9" t="inlineStr">
        <is>
          <t>Project Sponsor</t>
        </is>
      </c>
      <c r="C7" s="9" t="inlineStr">
        <is>
          <t>Stakeholder 1:1 meetings</t>
        </is>
      </c>
      <c r="D7" s="9" t="inlineStr"/>
      <c r="E7" s="9" t="inlineStr"/>
      <c r="F7" s="9" t="inlineStr"/>
      <c r="G7" s="9" t="inlineStr"/>
    </row>
    <row r="8">
      <c r="A8" s="9" t="inlineStr"/>
      <c r="B8" s="9" t="inlineStr">
        <is>
          <t>Department Head</t>
        </is>
      </c>
      <c r="C8" s="9" t="inlineStr">
        <is>
          <t>Team briefings</t>
        </is>
      </c>
      <c r="D8" s="9" t="inlineStr"/>
      <c r="E8" s="9" t="inlineStr"/>
      <c r="F8" s="9" t="inlineStr"/>
      <c r="G8" s="9" t="inlineStr"/>
      <c r="I8" s="4" t="inlineStr">
        <is>
          <t>SPONSOR ROLES</t>
        </is>
      </c>
    </row>
    <row r="9">
      <c r="A9" s="9" t="inlineStr"/>
      <c r="B9" s="9" t="inlineStr">
        <is>
          <t>Department Head</t>
        </is>
      </c>
      <c r="C9" s="9" t="inlineStr">
        <is>
          <t>Resistance escalation review</t>
        </is>
      </c>
      <c r="D9" s="9" t="inlineStr"/>
      <c r="E9" s="9" t="inlineStr"/>
      <c r="F9" s="9" t="inlineStr"/>
      <c r="G9" s="9" t="inlineStr"/>
      <c r="I9" s="6" t="inlineStr">
        <is>
          <t>Executive - Organization-wide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I10" s="6" t="inlineStr">
        <is>
          <t>Project - Initiative leadership</t>
        </is>
      </c>
    </row>
    <row r="11">
      <c r="A11" s="9" t="n"/>
      <c r="B11" s="9" t="n"/>
      <c r="C11" s="9" t="n"/>
      <c r="D11" s="9" t="n"/>
      <c r="E11" s="9" t="n"/>
      <c r="F11" s="9" t="n"/>
      <c r="G11" s="9" t="n"/>
      <c r="I11" s="6" t="inlineStr">
        <is>
          <t>Department - Local advocacy</t>
        </is>
      </c>
    </row>
    <row r="12">
      <c r="A12" s="9" t="n"/>
      <c r="B12" s="9" t="n"/>
      <c r="C12" s="9" t="n"/>
      <c r="D12" s="9" t="n"/>
      <c r="E12" s="9" t="n"/>
      <c r="F12" s="9" t="n"/>
      <c r="G12" s="9" t="n"/>
    </row>
    <row r="13">
      <c r="A13" s="9" t="n"/>
      <c r="B13" s="9" t="n"/>
      <c r="C13" s="9" t="n"/>
      <c r="D13" s="9" t="n"/>
      <c r="E13" s="9" t="n"/>
      <c r="F13" s="9" t="n"/>
      <c r="G13" s="9" t="n"/>
      <c r="I13" s="4" t="inlineStr">
        <is>
          <t>KEY ACTIVITIES</t>
        </is>
      </c>
    </row>
    <row r="14">
      <c r="A14" s="9" t="n"/>
      <c r="B14" s="9" t="n"/>
      <c r="C14" s="9" t="n"/>
      <c r="D14" s="9" t="n"/>
      <c r="E14" s="9" t="n"/>
      <c r="F14" s="9" t="n"/>
      <c r="G14" s="9" t="n"/>
      <c r="I14" s="6" t="inlineStr">
        <is>
          <t>- Communicate vision</t>
        </is>
      </c>
    </row>
    <row r="15">
      <c r="A15" s="9" t="n"/>
      <c r="B15" s="9" t="n"/>
      <c r="C15" s="9" t="n"/>
      <c r="D15" s="9" t="n"/>
      <c r="E15" s="9" t="n"/>
      <c r="F15" s="9" t="n"/>
      <c r="G15" s="9" t="n"/>
      <c r="I15" s="6" t="inlineStr">
        <is>
          <t>- Build coalition</t>
        </is>
      </c>
    </row>
    <row r="16">
      <c r="A16" s="9" t="n"/>
      <c r="B16" s="9" t="n"/>
      <c r="C16" s="9" t="n"/>
      <c r="D16" s="9" t="n"/>
      <c r="E16" s="9" t="n"/>
      <c r="F16" s="9" t="n"/>
      <c r="G16" s="9" t="n"/>
      <c r="I16" s="6" t="inlineStr">
        <is>
          <t>- Remove barriers</t>
        </is>
      </c>
    </row>
    <row r="17">
      <c r="A17" s="9" t="n"/>
      <c r="B17" s="9" t="n"/>
      <c r="C17" s="9" t="n"/>
      <c r="D17" s="9" t="n"/>
      <c r="E17" s="9" t="n"/>
      <c r="F17" s="9" t="n"/>
      <c r="G17" s="9" t="n"/>
      <c r="I17" s="6" t="inlineStr">
        <is>
          <t>- Reinforce change</t>
        </is>
      </c>
    </row>
    <row r="18">
      <c r="A18" s="9" t="n"/>
      <c r="B18" s="9" t="n"/>
      <c r="C18" s="9" t="n"/>
      <c r="D18" s="9" t="n"/>
      <c r="E18" s="9" t="n"/>
      <c r="F18" s="9" t="n"/>
      <c r="G18" s="9" t="n"/>
      <c r="I18" s="6" t="inlineStr">
        <is>
          <t>- Manage resistance</t>
        </is>
      </c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9" t="n"/>
      <c r="B20" s="9" t="n"/>
      <c r="C20" s="9" t="n"/>
      <c r="D20" s="9" t="n"/>
      <c r="E20" s="9" t="n"/>
      <c r="F20" s="9" t="n"/>
      <c r="G20" s="9" t="n"/>
      <c r="I20" s="4" t="inlineStr">
        <is>
          <t>EFFECTIVENESS RATING</t>
        </is>
      </c>
    </row>
    <row r="21">
      <c r="A21" s="9" t="n"/>
      <c r="B21" s="9" t="n"/>
      <c r="C21" s="9" t="n"/>
      <c r="D21" s="9" t="n"/>
      <c r="E21" s="9" t="n"/>
      <c r="F21" s="9" t="n"/>
      <c r="G21" s="9" t="n"/>
      <c r="I21" s="6" t="inlineStr">
        <is>
          <t>Highly Effective - Visible impact</t>
        </is>
      </c>
    </row>
    <row r="22">
      <c r="A22" s="9" t="n"/>
      <c r="B22" s="9" t="n"/>
      <c r="C22" s="9" t="n"/>
      <c r="D22" s="9" t="n"/>
      <c r="E22" s="9" t="n"/>
      <c r="F22" s="9" t="n"/>
      <c r="G22" s="9" t="n"/>
      <c r="I22" s="6" t="inlineStr">
        <is>
          <t>Effective - Expected results</t>
        </is>
      </c>
    </row>
    <row r="23">
      <c r="A23" s="9" t="n"/>
      <c r="B23" s="9" t="n"/>
      <c r="C23" s="9" t="n"/>
      <c r="D23" s="9" t="n"/>
      <c r="E23" s="9" t="n"/>
      <c r="F23" s="9" t="n"/>
      <c r="G23" s="9" t="n"/>
      <c r="I23" s="6" t="inlineStr">
        <is>
          <t>Needs Improvement - Limited</t>
        </is>
      </c>
    </row>
    <row r="24">
      <c r="A24" s="9" t="n"/>
      <c r="B24" s="9" t="n"/>
      <c r="C24" s="9" t="n"/>
      <c r="D24" s="9" t="n"/>
      <c r="E24" s="9" t="n"/>
      <c r="F24" s="9" t="n"/>
      <c r="G24" s="9" t="n"/>
      <c r="I24" s="6" t="inlineStr">
        <is>
          <t>Ineffective - No visible support</t>
        </is>
      </c>
    </row>
    <row r="25">
      <c r="A25" s="9" t="n"/>
      <c r="B25" s="9" t="n"/>
      <c r="C25" s="9" t="n"/>
      <c r="D25" s="9" t="n"/>
      <c r="E25" s="9" t="n"/>
      <c r="F25" s="9" t="n"/>
      <c r="G25" s="9" t="n"/>
    </row>
    <row r="26">
      <c r="A26" s="9" t="n"/>
      <c r="B26" s="9" t="n"/>
      <c r="C26" s="9" t="n"/>
      <c r="D26" s="9" t="n"/>
      <c r="E26" s="9" t="n"/>
      <c r="F26" s="9" t="n"/>
      <c r="G26" s="9" t="n"/>
    </row>
    <row r="27">
      <c r="A27" s="9" t="n"/>
      <c r="B27" s="9" t="n"/>
      <c r="C27" s="9" t="n"/>
      <c r="D27" s="9" t="n"/>
      <c r="E27" s="9" t="n"/>
      <c r="F27" s="9" t="n"/>
      <c r="G27" s="9" t="n"/>
    </row>
    <row r="28">
      <c r="A28" s="9" t="n"/>
      <c r="B28" s="9" t="n"/>
      <c r="C28" s="9" t="n"/>
      <c r="D28" s="9" t="n"/>
      <c r="E28" s="9" t="n"/>
      <c r="F28" s="9" t="n"/>
      <c r="G28" s="9" t="n"/>
    </row>
    <row r="29">
      <c r="A29" s="9" t="n"/>
      <c r="B29" s="9" t="n"/>
      <c r="C29" s="9" t="n"/>
      <c r="D29" s="9" t="n"/>
      <c r="E29" s="9" t="n"/>
      <c r="F29" s="9" t="n"/>
      <c r="G29" s="9" t="n"/>
    </row>
  </sheetData>
  <mergeCells count="1">
    <mergeCell ref="I1:J1"/>
  </mergeCells>
  <dataValidations count="2">
    <dataValidation sqref="E3:E29" showDropDown="0" showInputMessage="0" showErrorMessage="0" allowBlank="1" type="list">
      <formula1>"Scheduled,Complete,Delayed,Cancelled"</formula1>
    </dataValidation>
    <dataValidation sqref="F3:F29" showDropDown="0" showInputMessage="0" showErrorMessage="0" allowBlank="1" type="list">
      <formula1>"Highly Effective,Effective,Needs Improvement,Ineffective"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10" topLeftCell="K1" activePane="topRight" state="frozen"/>
      <selection pane="topRight"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30" customWidth="1" min="4" max="4"/>
    <col width="25" customWidth="1" min="5" max="5"/>
    <col width="30" customWidth="1" min="6" max="6"/>
    <col width="15" customWidth="1" min="7" max="7"/>
    <col width="12" customWidth="1" min="8" max="8"/>
    <col width="10" customWidth="1" min="9" max="9"/>
    <col width="45" customWidth="1" min="11" max="11"/>
  </cols>
  <sheetData>
    <row r="1">
      <c r="K1" s="2" t="inlineStr">
        <is>
          <t>INSTRUCTIONS</t>
        </is>
      </c>
    </row>
    <row r="2">
      <c r="A2" s="5" t="inlineStr">
        <is>
          <t>ID</t>
        </is>
      </c>
      <c r="B2" s="5" t="inlineStr">
        <is>
          <t>Source</t>
        </is>
      </c>
      <c r="C2" s="5" t="inlineStr">
        <is>
          <t>Type</t>
        </is>
      </c>
      <c r="D2" s="5" t="inlineStr">
        <is>
          <t>Description</t>
        </is>
      </c>
      <c r="E2" s="5" t="inlineStr">
        <is>
          <t>Root Cause</t>
        </is>
      </c>
      <c r="F2" s="5" t="inlineStr">
        <is>
          <t>Mitigation</t>
        </is>
      </c>
      <c r="G2" s="5" t="inlineStr">
        <is>
          <t>Owner</t>
        </is>
      </c>
      <c r="H2" s="5" t="inlineStr">
        <is>
          <t>Status</t>
        </is>
      </c>
      <c r="I2" s="5" t="inlineStr">
        <is>
          <t>Priority</t>
        </is>
      </c>
    </row>
    <row r="3">
      <c r="A3" s="9" t="inlineStr">
        <is>
          <t>R001</t>
        </is>
      </c>
      <c r="B3" s="9" t="inlineStr"/>
      <c r="C3" s="9" t="inlineStr"/>
      <c r="D3" s="9" t="inlineStr"/>
      <c r="E3" s="9" t="inlineStr"/>
      <c r="F3" s="9" t="inlineStr"/>
      <c r="G3" s="9" t="inlineStr"/>
      <c r="H3" s="9" t="inlineStr">
        <is>
          <t>Open</t>
        </is>
      </c>
      <c r="I3" s="9" t="inlineStr"/>
      <c r="K3" s="4" t="inlineStr">
        <is>
          <t>PURPOSE</t>
        </is>
      </c>
    </row>
    <row r="4">
      <c r="A4" s="9" t="inlineStr">
        <is>
          <t>R002</t>
        </is>
      </c>
      <c r="B4" s="9" t="inlineStr"/>
      <c r="C4" s="9" t="inlineStr"/>
      <c r="D4" s="9" t="inlineStr"/>
      <c r="E4" s="9" t="inlineStr"/>
      <c r="F4" s="9" t="inlineStr"/>
      <c r="G4" s="9" t="inlineStr"/>
      <c r="H4" s="9" t="inlineStr">
        <is>
          <t>Open</t>
        </is>
      </c>
      <c r="I4" s="9" t="inlineStr"/>
      <c r="K4" s="6" t="inlineStr">
        <is>
          <t>Track and manage resistance</t>
        </is>
      </c>
    </row>
    <row r="5">
      <c r="A5" s="9" t="inlineStr">
        <is>
          <t>R003</t>
        </is>
      </c>
      <c r="B5" s="9" t="inlineStr"/>
      <c r="C5" s="9" t="inlineStr"/>
      <c r="D5" s="9" t="inlineStr"/>
      <c r="E5" s="9" t="inlineStr"/>
      <c r="F5" s="9" t="inlineStr"/>
      <c r="G5" s="9" t="inlineStr"/>
      <c r="H5" s="9" t="inlineStr">
        <is>
          <t>Open</t>
        </is>
      </c>
      <c r="I5" s="9" t="inlineStr"/>
      <c r="K5" s="6" t="inlineStr">
        <is>
          <t>to change systematically.</t>
        </is>
      </c>
    </row>
    <row r="6">
      <c r="A6" s="9" t="inlineStr">
        <is>
          <t>R004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9" t="inlineStr">
        <is>
          <t>R005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K7" s="4" t="inlineStr">
        <is>
          <t>RESISTANCE TYPES</t>
        </is>
      </c>
    </row>
    <row r="8">
      <c r="A8" s="9" t="inlineStr">
        <is>
          <t>R006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K8" s="6" t="inlineStr">
        <is>
          <t>Fear - Uncertainty about future</t>
        </is>
      </c>
    </row>
    <row r="9">
      <c r="A9" s="9" t="inlineStr">
        <is>
          <t>R007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K9" s="6" t="inlineStr">
        <is>
          <t>Loss of Control - Autonomy concerns</t>
        </is>
      </c>
    </row>
    <row r="10">
      <c r="A10" s="9" t="inlineStr">
        <is>
          <t>R008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K10" s="6" t="inlineStr">
        <is>
          <t>Workload - Capacity issues</t>
        </is>
      </c>
    </row>
    <row r="11">
      <c r="A11" s="9" t="inlineStr">
        <is>
          <t>R009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K11" s="6" t="inlineStr">
        <is>
          <t>Skills Gap - Capability concerns</t>
        </is>
      </c>
    </row>
    <row r="12">
      <c r="A12" s="9" t="inlineStr">
        <is>
          <t>R010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K12" s="6" t="inlineStr">
        <is>
          <t>Culture - Values conflict</t>
        </is>
      </c>
    </row>
    <row r="13">
      <c r="A13" s="9" t="inlineStr">
        <is>
          <t>R011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K13" s="6" t="inlineStr">
        <is>
          <t>Past Experience - Previous failures</t>
        </is>
      </c>
    </row>
    <row r="14">
      <c r="A14" s="9" t="inlineStr">
        <is>
          <t>R012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inlineStr">
        <is>
          <t>R013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K15" s="4" t="inlineStr">
        <is>
          <t>MANAGEMENT APPROACH</t>
        </is>
      </c>
    </row>
    <row r="16">
      <c r="A16" s="9" t="inlineStr">
        <is>
          <t>R014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K16" s="6" t="inlineStr">
        <is>
          <t>1. Identify early</t>
        </is>
      </c>
    </row>
    <row r="17">
      <c r="A17" s="9" t="inlineStr">
        <is>
          <t>R015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K17" s="6" t="inlineStr">
        <is>
          <t>2. Understand root cause</t>
        </is>
      </c>
    </row>
    <row r="18">
      <c r="A18" s="9" t="inlineStr">
        <is>
          <t>R016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K18" s="6" t="inlineStr">
        <is>
          <t>3. Plan mitigation</t>
        </is>
      </c>
    </row>
    <row r="19">
      <c r="A19" s="9" t="inlineStr">
        <is>
          <t>R017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K19" s="6" t="inlineStr">
        <is>
          <t>4. Monitor progress</t>
        </is>
      </c>
    </row>
    <row r="20">
      <c r="A20" s="9" t="inlineStr">
        <is>
          <t>R018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K20" s="6" t="inlineStr">
        <is>
          <t>5. Escalate if needed</t>
        </is>
      </c>
    </row>
    <row r="21">
      <c r="A21" s="9" t="inlineStr">
        <is>
          <t>R019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inlineStr">
        <is>
          <t>R020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K22" s="4" t="inlineStr">
        <is>
          <t>TIP</t>
        </is>
      </c>
    </row>
    <row r="23">
      <c r="A23" s="9" t="inlineStr">
        <is>
          <t>R021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K23" s="6" t="inlineStr">
        <is>
          <t>Resistance is often a symptom</t>
        </is>
      </c>
    </row>
    <row r="24">
      <c r="A24" s="9" t="inlineStr">
        <is>
          <t>R022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  <c r="K24" s="6" t="inlineStr">
        <is>
          <t>of insufficient Awareness,</t>
        </is>
      </c>
    </row>
    <row r="25">
      <c r="A25" s="9" t="inlineStr">
        <is>
          <t>R023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K25" s="6" t="inlineStr">
        <is>
          <t>Desire, or Knowledge.</t>
        </is>
      </c>
    </row>
    <row r="26">
      <c r="A26" s="9" t="inlineStr">
        <is>
          <t>R024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inlineStr">
        <is>
          <t>R025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inlineStr">
        <is>
          <t>R026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inlineStr">
        <is>
          <t>R027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</row>
    <row r="30">
      <c r="A30" s="9" t="inlineStr">
        <is>
          <t>R028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</row>
  </sheetData>
  <mergeCells count="1">
    <mergeCell ref="K1:L1"/>
  </mergeCells>
  <dataValidations count="3">
    <dataValidation sqref="C3:C30" showDropDown="0" showInputMessage="0" showErrorMessage="0" allowBlank="1" type="list">
      <formula1>"Fear,Loss of Control,Workload,Skills Gap,Culture,Past Experience,Misunderstanding,Other"</formula1>
    </dataValidation>
    <dataValidation sqref="H3:H30" showDropDown="0" showInputMessage="0" showErrorMessage="0" allowBlank="1" type="list">
      <formula1>"Open,In Progress,Resolved,Escalated"</formula1>
    </dataValidation>
    <dataValidation sqref="I3:I3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xSplit="7" topLeftCell="H1" activePane="topRight" state="frozen"/>
      <selection pane="topRight" activeCell="A1" sqref="A1"/>
    </sheetView>
  </sheetViews>
  <sheetFormatPr baseColWidth="8" defaultRowHeight="15"/>
  <cols>
    <col width="20" customWidth="1" min="1" max="1"/>
    <col width="35" customWidth="1" min="2" max="2"/>
    <col width="12" customWidth="1" min="3" max="3"/>
    <col width="12" customWidth="1" min="4" max="4"/>
    <col width="12" customWidth="1" min="5" max="5"/>
    <col width="12" customWidth="1" min="6" max="6"/>
    <col width="45" customWidth="1" min="8" max="8"/>
  </cols>
  <sheetData>
    <row r="1">
      <c r="H1" s="2" t="inlineStr">
        <is>
          <t>INSTRUCTIONS</t>
        </is>
      </c>
    </row>
    <row r="2">
      <c r="A2" s="5" t="inlineStr">
        <is>
          <t>KPI</t>
        </is>
      </c>
      <c r="B2" s="5" t="inlineStr">
        <is>
          <t>Definition</t>
        </is>
      </c>
      <c r="C2" s="5" t="inlineStr">
        <is>
          <t>Current</t>
        </is>
      </c>
      <c r="D2" s="5" t="inlineStr">
        <is>
          <t>Target</t>
        </is>
      </c>
      <c r="E2" s="5" t="inlineStr">
        <is>
          <t>Status</t>
        </is>
      </c>
      <c r="F2" s="5" t="inlineStr">
        <is>
          <t>Trend</t>
        </is>
      </c>
    </row>
    <row r="3">
      <c r="A3" s="9" t="inlineStr">
        <is>
          <t>Awareness Level</t>
        </is>
      </c>
      <c r="B3" s="9" t="inlineStr">
        <is>
          <t>% of stakeholders aware of change</t>
        </is>
      </c>
      <c r="C3" s="7" t="inlineStr"/>
      <c r="D3" s="7" t="inlineStr">
        <is>
          <t>100%</t>
        </is>
      </c>
      <c r="E3" s="7">
        <f>IF(C3="","",IF(VALUE(SUBSTITUTE(C3,"%",""))&gt;=VALUE(SUBSTITUTE(SUBSTITUTE(D3,"≤",""),"%","")),"On Track","At Risk"))</f>
        <v/>
      </c>
      <c r="F3" s="7" t="inlineStr"/>
      <c r="H3" s="4" t="inlineStr">
        <is>
          <t>PURPOSE</t>
        </is>
      </c>
    </row>
    <row r="4">
      <c r="A4" s="9" t="inlineStr">
        <is>
          <t>Adoption Rate</t>
        </is>
      </c>
      <c r="B4" s="9" t="inlineStr">
        <is>
          <t>% using new process/system correctly</t>
        </is>
      </c>
      <c r="C4" s="7" t="inlineStr"/>
      <c r="D4" s="7" t="inlineStr">
        <is>
          <t>85%</t>
        </is>
      </c>
      <c r="E4" s="7">
        <f>IF(C4="","",IF(VALUE(SUBSTITUTE(C4,"%",""))&gt;=VALUE(SUBSTITUTE(SUBSTITUTE(D4,"≤",""),"%","")),"On Track","At Risk"))</f>
        <v/>
      </c>
      <c r="F4" s="7" t="inlineStr"/>
      <c r="H4" s="6" t="inlineStr">
        <is>
          <t>Track 6 key OCM metrics</t>
        </is>
      </c>
    </row>
    <row r="5">
      <c r="A5" s="9" t="inlineStr">
        <is>
          <t>Proficiency Level</t>
        </is>
      </c>
      <c r="B5" s="9" t="inlineStr">
        <is>
          <t>% meeting performance standards</t>
        </is>
      </c>
      <c r="C5" s="7" t="inlineStr"/>
      <c r="D5" s="7" t="inlineStr">
        <is>
          <t>80%</t>
        </is>
      </c>
      <c r="E5" s="7">
        <f>IF(C5="","",IF(VALUE(SUBSTITUTE(C5,"%",""))&gt;=VALUE(SUBSTITUTE(SUBSTITUTE(D5,"≤",""),"%","")),"On Track","At Risk"))</f>
        <v/>
      </c>
      <c r="F5" s="7" t="inlineStr"/>
      <c r="H5" s="6" t="inlineStr">
        <is>
          <t>against targets.</t>
        </is>
      </c>
    </row>
    <row r="6">
      <c r="A6" s="9" t="inlineStr">
        <is>
          <t>Resistance Level</t>
        </is>
      </c>
      <c r="B6" s="9" t="inlineStr">
        <is>
          <t>% showing active resistance</t>
        </is>
      </c>
      <c r="C6" s="7" t="inlineStr"/>
      <c r="D6" s="7" t="inlineStr">
        <is>
          <t>≤10%</t>
        </is>
      </c>
      <c r="E6" s="7">
        <f>IF(C6="","",IF(VALUE(SUBSTITUTE(C6,"%",""))&gt;=VALUE(SUBSTITUTE(SUBSTITUTE(D6,"≤",""),"%","")),"On Track","At Risk"))</f>
        <v/>
      </c>
      <c r="F6" s="7" t="inlineStr"/>
    </row>
    <row r="7">
      <c r="A7" s="9" t="inlineStr">
        <is>
          <t>Sponsor Engagement</t>
        </is>
      </c>
      <c r="B7" s="9" t="inlineStr">
        <is>
          <t>Sponsor activity completion rate</t>
        </is>
      </c>
      <c r="C7" s="7" t="inlineStr"/>
      <c r="D7" s="7" t="inlineStr">
        <is>
          <t>90%</t>
        </is>
      </c>
      <c r="E7" s="7">
        <f>IF(C7="","",IF(VALUE(SUBSTITUTE(C7,"%",""))&gt;=VALUE(SUBSTITUTE(SUBSTITUTE(D7,"≤",""),"%","")),"On Track","At Risk"))</f>
        <v/>
      </c>
      <c r="F7" s="7" t="inlineStr"/>
      <c r="H7" s="4" t="inlineStr">
        <is>
          <t>KPI DEFINITIONS</t>
        </is>
      </c>
    </row>
    <row r="8">
      <c r="A8" s="9" t="inlineStr">
        <is>
          <t>Sustainment Rate</t>
        </is>
      </c>
      <c r="B8" s="9" t="inlineStr">
        <is>
          <t>Sustained adoption after 90 days</t>
        </is>
      </c>
      <c r="C8" s="7" t="inlineStr"/>
      <c r="D8" s="7" t="inlineStr">
        <is>
          <t>90%</t>
        </is>
      </c>
      <c r="E8" s="7">
        <f>IF(C8="","",IF(VALUE(SUBSTITUTE(C8,"%",""))&gt;=VALUE(SUBSTITUTE(SUBSTITUTE(D8,"≤",""),"%","")),"On Track","At Risk"))</f>
        <v/>
      </c>
      <c r="F8" s="7" t="inlineStr"/>
      <c r="H8" s="6" t="inlineStr">
        <is>
          <t>Awareness - Survey/assessment</t>
        </is>
      </c>
    </row>
    <row r="9">
      <c r="H9" s="6" t="inlineStr">
        <is>
          <t>Adoption - System usage data</t>
        </is>
      </c>
    </row>
    <row r="10">
      <c r="H10" s="6" t="inlineStr">
        <is>
          <t>Proficiency - Quality metrics</t>
        </is>
      </c>
    </row>
    <row r="11">
      <c r="H11" s="6" t="inlineStr">
        <is>
          <t>Resistance - Log analysis</t>
        </is>
      </c>
    </row>
    <row r="12">
      <c r="H12" s="6" t="inlineStr">
        <is>
          <t>Sponsor - Activity tracking</t>
        </is>
      </c>
    </row>
    <row r="13">
      <c r="H13" s="6" t="inlineStr">
        <is>
          <t>Sustainment - 90-day review</t>
        </is>
      </c>
    </row>
    <row r="15">
      <c r="H15" s="4" t="inlineStr">
        <is>
          <t>MEASUREMENT FREQUENCY</t>
        </is>
      </c>
    </row>
    <row r="16">
      <c r="H16" s="6" t="inlineStr">
        <is>
          <t>Awareness: Weekly during rollout</t>
        </is>
      </c>
    </row>
    <row r="17">
      <c r="H17" s="6" t="inlineStr">
        <is>
          <t>Adoption: Weekly post go-live</t>
        </is>
      </c>
    </row>
    <row r="18">
      <c r="H18" s="6" t="inlineStr">
        <is>
          <t>Proficiency: Monthly</t>
        </is>
      </c>
    </row>
    <row r="19">
      <c r="H19" s="6" t="inlineStr">
        <is>
          <t>Resistance: Continuous</t>
        </is>
      </c>
    </row>
    <row r="20">
      <c r="H20" s="6" t="inlineStr">
        <is>
          <t>Sponsor: Per activity</t>
        </is>
      </c>
    </row>
    <row r="21">
      <c r="H21" s="6" t="inlineStr">
        <is>
          <t>Sustainment: 90 days post</t>
        </is>
      </c>
    </row>
    <row r="23">
      <c r="H23" s="4" t="inlineStr">
        <is>
          <t>TIP</t>
        </is>
      </c>
    </row>
    <row r="24">
      <c r="H24" s="6" t="inlineStr">
        <is>
          <t>Status auto-calculates</t>
        </is>
      </c>
    </row>
    <row r="25">
      <c r="H25" s="6" t="inlineStr">
        <is>
          <t>based on Current vs Target.</t>
        </is>
      </c>
    </row>
  </sheetData>
  <mergeCells count="1">
    <mergeCell ref="H1:I1"/>
  </mergeCells>
  <dataValidations count="1">
    <dataValidation sqref="F3:F8" showDropDown="0" showInputMessage="0" showErrorMessage="0" allowBlank="1" type="list">
      <formula1>"Improving,Stable,Declining"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0" topLeftCell="K1" activePane="topRight" state="frozen"/>
      <selection pane="topRight" activeCell="A1" sqref="A1"/>
    </sheetView>
  </sheetViews>
  <sheetFormatPr baseColWidth="8" defaultRowHeight="15"/>
  <cols>
    <col width="25" customWidth="1" min="1" max="1"/>
    <col width="40" customWidth="1" min="2" max="2"/>
    <col width="10" customWidth="1" min="3" max="3"/>
    <col width="30" customWidth="1" min="4" max="4"/>
    <col width="10" customWidth="1" min="5" max="5"/>
    <col width="10" customWidth="1" min="6" max="6"/>
    <col width="15" customWidth="1" min="8" max="8"/>
    <col width="35" customWidth="1" min="9" max="9"/>
    <col width="45" customWidth="1" min="11" max="11"/>
  </cols>
  <sheetData>
    <row r="1">
      <c r="H1" s="10" t="inlineStr">
        <is>
          <t>MATURITY LEVELS</t>
        </is>
      </c>
      <c r="K1" s="2" t="inlineStr">
        <is>
          <t>INSTRUCTIONS</t>
        </is>
      </c>
    </row>
    <row r="2">
      <c r="H2" s="14" t="inlineStr">
        <is>
          <t>1 - Ad-hoc</t>
        </is>
      </c>
      <c r="I2" t="inlineStr">
        <is>
          <t>No formal OCM practices</t>
        </is>
      </c>
    </row>
    <row r="3">
      <c r="A3" s="5" t="inlineStr">
        <is>
          <t>Dimension</t>
        </is>
      </c>
      <c r="B3" s="5" t="inlineStr">
        <is>
          <t>Description</t>
        </is>
      </c>
      <c r="C3" s="5" t="inlineStr">
        <is>
          <t>Score</t>
        </is>
      </c>
      <c r="D3" s="5" t="inlineStr">
        <is>
          <t>Evidence</t>
        </is>
      </c>
      <c r="E3" s="5" t="inlineStr">
        <is>
          <t>Target</t>
        </is>
      </c>
      <c r="F3" s="5" t="inlineStr">
        <is>
          <t>Gap</t>
        </is>
      </c>
      <c r="H3" s="14" t="inlineStr">
        <is>
          <t>2 - Emerging</t>
        </is>
      </c>
      <c r="I3" t="inlineStr">
        <is>
          <t>Basic practices on some projects</t>
        </is>
      </c>
      <c r="K3" s="4" t="inlineStr">
        <is>
          <t>PURPOSE</t>
        </is>
      </c>
    </row>
    <row r="4">
      <c r="A4" s="9" t="inlineStr">
        <is>
          <t>Leadership &amp; Sponsorship</t>
        </is>
      </c>
      <c r="B4" s="9" t="inlineStr">
        <is>
          <t>Executive commitment and visible support</t>
        </is>
      </c>
      <c r="C4" s="7" t="inlineStr"/>
      <c r="D4" s="9" t="inlineStr"/>
      <c r="E4" s="7" t="inlineStr"/>
      <c r="F4" s="7">
        <f>IF(OR(C4="",E4=""),"",E4-C4)</f>
        <v/>
      </c>
      <c r="H4" s="14" t="inlineStr">
        <is>
          <t>3 - Defined</t>
        </is>
      </c>
      <c r="I4" t="inlineStr">
        <is>
          <t>Standardized methodology in use</t>
        </is>
      </c>
      <c r="K4" s="6" t="inlineStr">
        <is>
          <t>Assess organizational OCM</t>
        </is>
      </c>
    </row>
    <row r="5">
      <c r="A5" s="9" t="inlineStr">
        <is>
          <t>Methodology &amp; Approach</t>
        </is>
      </c>
      <c r="B5" s="9" t="inlineStr">
        <is>
          <t>Standardized OCM methodology application</t>
        </is>
      </c>
      <c r="C5" s="7" t="inlineStr"/>
      <c r="D5" s="9" t="inlineStr"/>
      <c r="E5" s="7" t="inlineStr"/>
      <c r="F5" s="7">
        <f>IF(OR(C5="",E5=""),"",E5-C5)</f>
        <v/>
      </c>
      <c r="H5" s="14" t="inlineStr">
        <is>
          <t>4 - Managed</t>
        </is>
      </c>
      <c r="I5" t="inlineStr">
        <is>
          <t>Metrics-driven, consistent results</t>
        </is>
      </c>
      <c r="K5" s="6" t="inlineStr">
        <is>
          <t>maturity across 8 dimensions.</t>
        </is>
      </c>
    </row>
    <row r="6">
      <c r="A6" s="9" t="inlineStr">
        <is>
          <t>Stakeholder Management</t>
        </is>
      </c>
      <c r="B6" s="9" t="inlineStr">
        <is>
          <t>Systematic stakeholder analysis and engagement</t>
        </is>
      </c>
      <c r="C6" s="7" t="inlineStr"/>
      <c r="D6" s="9" t="inlineStr"/>
      <c r="E6" s="7" t="inlineStr"/>
      <c r="F6" s="7">
        <f>IF(OR(C6="",E6=""),"",E6-C6)</f>
        <v/>
      </c>
      <c r="H6" s="14" t="inlineStr">
        <is>
          <t>5 - Optimized</t>
        </is>
      </c>
      <c r="I6" t="inlineStr">
        <is>
          <t>Change-ready culture, continuous improvement</t>
        </is>
      </c>
    </row>
    <row r="7">
      <c r="A7" s="9" t="inlineStr">
        <is>
          <t>Communication</t>
        </is>
      </c>
      <c r="B7" s="9" t="inlineStr">
        <is>
          <t>Planned, targeted change communications</t>
        </is>
      </c>
      <c r="C7" s="7" t="inlineStr"/>
      <c r="D7" s="9" t="inlineStr"/>
      <c r="E7" s="7" t="inlineStr"/>
      <c r="F7" s="7">
        <f>IF(OR(C7="",E7=""),"",E7-C7)</f>
        <v/>
      </c>
      <c r="K7" s="4" t="inlineStr">
        <is>
          <t>SCORING GUIDE</t>
        </is>
      </c>
    </row>
    <row r="8">
      <c r="A8" s="9" t="inlineStr">
        <is>
          <t>Training &amp; Development</t>
        </is>
      </c>
      <c r="B8" s="9" t="inlineStr">
        <is>
          <t>Role-based training and capability building</t>
        </is>
      </c>
      <c r="C8" s="7" t="inlineStr"/>
      <c r="D8" s="9" t="inlineStr"/>
      <c r="E8" s="7" t="inlineStr"/>
      <c r="F8" s="7">
        <f>IF(OR(C8="",E8=""),"",E8-C8)</f>
        <v/>
      </c>
      <c r="K8" s="6" t="inlineStr">
        <is>
          <t>1 = No evidence</t>
        </is>
      </c>
    </row>
    <row r="9">
      <c r="A9" s="9" t="inlineStr">
        <is>
          <t>Change Network</t>
        </is>
      </c>
      <c r="B9" s="9" t="inlineStr">
        <is>
          <t>Established change agent infrastructure</t>
        </is>
      </c>
      <c r="C9" s="7" t="inlineStr"/>
      <c r="D9" s="9" t="inlineStr"/>
      <c r="E9" s="7" t="inlineStr"/>
      <c r="F9" s="7">
        <f>IF(OR(C9="",E9=""),"",E9-C9)</f>
        <v/>
      </c>
      <c r="K9" s="6" t="inlineStr">
        <is>
          <t>2 = Limited/inconsistent</t>
        </is>
      </c>
    </row>
    <row r="10">
      <c r="A10" s="9" t="inlineStr">
        <is>
          <t>Resistance Management</t>
        </is>
      </c>
      <c r="B10" s="9" t="inlineStr">
        <is>
          <t>Proactive identification and mitigation</t>
        </is>
      </c>
      <c r="C10" s="7" t="inlineStr"/>
      <c r="D10" s="9" t="inlineStr"/>
      <c r="E10" s="7" t="inlineStr"/>
      <c r="F10" s="7">
        <f>IF(OR(C10="",E10=""),"",E10-C10)</f>
        <v/>
      </c>
      <c r="K10" s="6" t="inlineStr">
        <is>
          <t>3 = Defined process exists</t>
        </is>
      </c>
    </row>
    <row r="11">
      <c r="A11" s="9" t="inlineStr">
        <is>
          <t>Measurement &amp; Sustainment</t>
        </is>
      </c>
      <c r="B11" s="9" t="inlineStr">
        <is>
          <t>Metrics-driven improvement and reinforcement</t>
        </is>
      </c>
      <c r="C11" s="7" t="inlineStr"/>
      <c r="D11" s="9" t="inlineStr"/>
      <c r="E11" s="7" t="inlineStr"/>
      <c r="F11" s="7">
        <f>IF(OR(C11="",E11=""),"",E11-C11)</f>
        <v/>
      </c>
      <c r="K11" s="6" t="inlineStr">
        <is>
          <t>4 = Measured and managed</t>
        </is>
      </c>
    </row>
    <row r="12">
      <c r="K12" s="6" t="inlineStr">
        <is>
          <t>5 = Optimized, best practice</t>
        </is>
      </c>
    </row>
    <row r="13">
      <c r="A13" s="15" t="inlineStr">
        <is>
          <t>Overall Maturity Score</t>
        </is>
      </c>
      <c r="C13">
        <f>IFERROR(AVERAGE(C4:C11),"")</f>
        <v/>
      </c>
      <c r="E13">
        <f>IFERROR(AVERAGE(E4:E11),"")</f>
        <v/>
      </c>
      <c r="F13">
        <f>IF(OR(C13="",E13=""),"",E13-C13)</f>
        <v/>
      </c>
    </row>
    <row r="14">
      <c r="K14" s="4" t="inlineStr">
        <is>
          <t>HOW TO USE</t>
        </is>
      </c>
    </row>
    <row r="15">
      <c r="K15" s="6" t="inlineStr">
        <is>
          <t>1. Score current state (1-5)</t>
        </is>
      </c>
    </row>
    <row r="16">
      <c r="K16" s="6" t="inlineStr">
        <is>
          <t>2. Set target state</t>
        </is>
      </c>
    </row>
    <row r="17">
      <c r="K17" s="6" t="inlineStr">
        <is>
          <t>3. Document evidence</t>
        </is>
      </c>
    </row>
    <row r="18">
      <c r="K18" s="6" t="inlineStr">
        <is>
          <t>4. Review gaps</t>
        </is>
      </c>
    </row>
    <row r="19">
      <c r="K19" s="6" t="inlineStr">
        <is>
          <t>5. Plan improvements</t>
        </is>
      </c>
    </row>
    <row r="21">
      <c r="K21" s="4" t="inlineStr">
        <is>
          <t>TIP</t>
        </is>
      </c>
    </row>
    <row r="22">
      <c r="K22" s="6" t="inlineStr">
        <is>
          <t>Conduct assessment annually</t>
        </is>
      </c>
    </row>
    <row r="23">
      <c r="K23" s="6" t="inlineStr">
        <is>
          <t>or after major initiatives.</t>
        </is>
      </c>
    </row>
  </sheetData>
  <mergeCells count="1">
    <mergeCell ref="K1:L1"/>
  </mergeCells>
  <dataValidations count="1">
    <dataValidation sqref="C4:C11 E4:E11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9" topLeftCell="J1" activePane="topRight" state="frozen"/>
      <selection pane="topRight" activeCell="A1" sqref="A1"/>
    </sheetView>
  </sheetViews>
  <sheetFormatPr baseColWidth="8" defaultRowHeight="15"/>
  <cols>
    <col width="8" customWidth="1" min="1" max="1"/>
    <col width="40" customWidth="1" min="2" max="2"/>
    <col width="10" customWidth="1" min="3" max="3"/>
    <col width="30" customWidth="1" min="4" max="4"/>
    <col width="30" customWidth="1" min="5" max="5"/>
    <col width="5" customWidth="1" min="7" max="7"/>
    <col width="30" customWidth="1" min="8" max="8"/>
    <col width="45" customWidth="1" min="10" max="10"/>
  </cols>
  <sheetData>
    <row r="1">
      <c r="G1" s="10" t="inlineStr">
        <is>
          <t>SCORING GUIDE</t>
        </is>
      </c>
      <c r="J1" s="2" t="inlineStr">
        <is>
          <t>INSTRUCTIONS</t>
        </is>
      </c>
    </row>
    <row r="2">
      <c r="G2" s="15" t="inlineStr">
        <is>
          <t>5</t>
        </is>
      </c>
      <c r="H2" t="inlineStr">
        <is>
          <t>Fully achieved, best practice</t>
        </is>
      </c>
    </row>
    <row r="3">
      <c r="A3" s="5" t="inlineStr">
        <is>
          <t>CSF #</t>
        </is>
      </c>
      <c r="B3" s="5" t="inlineStr">
        <is>
          <t>Critical Success Factor</t>
        </is>
      </c>
      <c r="C3" s="5" t="inlineStr">
        <is>
          <t>Score</t>
        </is>
      </c>
      <c r="D3" s="5" t="inlineStr">
        <is>
          <t>Evidence</t>
        </is>
      </c>
      <c r="E3" s="5" t="inlineStr">
        <is>
          <t>Actions Needed</t>
        </is>
      </c>
      <c r="G3" s="15" t="inlineStr">
        <is>
          <t>4</t>
        </is>
      </c>
      <c r="H3" t="inlineStr">
        <is>
          <t>Substantially achieved</t>
        </is>
      </c>
      <c r="J3" s="4" t="inlineStr">
        <is>
          <t>PURPOSE</t>
        </is>
      </c>
    </row>
    <row r="4">
      <c r="A4" s="7" t="n">
        <v>1</v>
      </c>
      <c r="B4" s="9" t="inlineStr">
        <is>
          <t>Executive Sponsorship and Commitment</t>
        </is>
      </c>
      <c r="C4" s="7" t="inlineStr"/>
      <c r="D4" s="9" t="inlineStr"/>
      <c r="E4" s="9" t="inlineStr"/>
      <c r="G4" s="15" t="inlineStr">
        <is>
          <t>3</t>
        </is>
      </c>
      <c r="H4" t="inlineStr">
        <is>
          <t>Partially achieved</t>
        </is>
      </c>
      <c r="J4" s="6" t="inlineStr">
        <is>
          <t>Evaluate 8 Critical Success</t>
        </is>
      </c>
    </row>
    <row r="5">
      <c r="A5" s="7" t="n">
        <v>2</v>
      </c>
      <c r="B5" s="9" t="inlineStr">
        <is>
          <t>Clear Vision and Case for Change</t>
        </is>
      </c>
      <c r="C5" s="7" t="inlineStr"/>
      <c r="D5" s="9" t="inlineStr"/>
      <c r="E5" s="9" t="inlineStr"/>
      <c r="G5" s="15" t="inlineStr">
        <is>
          <t>2</t>
        </is>
      </c>
      <c r="H5" t="inlineStr">
        <is>
          <t>Limited achievement</t>
        </is>
      </c>
      <c r="J5" s="6" t="inlineStr">
        <is>
          <t>Factors for OCM effectiveness.</t>
        </is>
      </c>
    </row>
    <row r="6">
      <c r="A6" s="7" t="n">
        <v>3</v>
      </c>
      <c r="B6" s="9" t="inlineStr">
        <is>
          <t>Stakeholder Engagement and Involvement</t>
        </is>
      </c>
      <c r="C6" s="7" t="inlineStr"/>
      <c r="D6" s="9" t="inlineStr"/>
      <c r="E6" s="9" t="inlineStr"/>
      <c r="G6" s="15" t="inlineStr">
        <is>
          <t>1</t>
        </is>
      </c>
      <c r="H6" t="inlineStr">
        <is>
          <t>Not achieved</t>
        </is>
      </c>
    </row>
    <row r="7">
      <c r="A7" s="7" t="n">
        <v>4</v>
      </c>
      <c r="B7" s="9" t="inlineStr">
        <is>
          <t>Effective Communication</t>
        </is>
      </c>
      <c r="C7" s="7" t="inlineStr"/>
      <c r="D7" s="9" t="inlineStr"/>
      <c r="E7" s="9" t="inlineStr"/>
      <c r="J7" s="4" t="inlineStr">
        <is>
          <t>CSF CATEGORIES</t>
        </is>
      </c>
    </row>
    <row r="8">
      <c r="A8" s="7" t="n">
        <v>5</v>
      </c>
      <c r="B8" s="9" t="inlineStr">
        <is>
          <t>Training and Capability Building</t>
        </is>
      </c>
      <c r="C8" s="7" t="inlineStr"/>
      <c r="D8" s="9" t="inlineStr"/>
      <c r="E8" s="9" t="inlineStr"/>
      <c r="J8" s="6" t="inlineStr">
        <is>
          <t>Leadership: CSF 1</t>
        </is>
      </c>
    </row>
    <row r="9">
      <c r="A9" s="7" t="n">
        <v>6</v>
      </c>
      <c r="B9" s="9" t="inlineStr">
        <is>
          <t>Change Agent Network</t>
        </is>
      </c>
      <c r="C9" s="7" t="inlineStr"/>
      <c r="D9" s="9" t="inlineStr"/>
      <c r="E9" s="9" t="inlineStr"/>
      <c r="J9" s="6" t="inlineStr">
        <is>
          <t>Foundation: CSF 2</t>
        </is>
      </c>
    </row>
    <row r="10">
      <c r="A10" s="7" t="n">
        <v>7</v>
      </c>
      <c r="B10" s="9" t="inlineStr">
        <is>
          <t>Resistance Management</t>
        </is>
      </c>
      <c r="C10" s="7" t="inlineStr"/>
      <c r="D10" s="9" t="inlineStr"/>
      <c r="E10" s="9" t="inlineStr"/>
      <c r="J10" s="6" t="inlineStr">
        <is>
          <t>People: CSF 3</t>
        </is>
      </c>
    </row>
    <row r="11">
      <c r="A11" s="7" t="n">
        <v>8</v>
      </c>
      <c r="B11" s="9" t="inlineStr">
        <is>
          <t>Measurement and Reinforcement</t>
        </is>
      </c>
      <c r="C11" s="7" t="inlineStr"/>
      <c r="D11" s="9" t="inlineStr"/>
      <c r="E11" s="9" t="inlineStr"/>
      <c r="J11" s="6" t="inlineStr">
        <is>
          <t>Communication: CSF 4</t>
        </is>
      </c>
    </row>
    <row r="12">
      <c r="J12" s="6" t="inlineStr">
        <is>
          <t>Enablement: CSF 5</t>
        </is>
      </c>
    </row>
    <row r="13">
      <c r="A13" t="inlineStr"/>
      <c r="B13" s="15" t="inlineStr">
        <is>
          <t>Overall CSF Score</t>
        </is>
      </c>
      <c r="C13">
        <f>IFERROR(AVERAGE(C4:C11),"")</f>
        <v/>
      </c>
      <c r="J13" s="6" t="inlineStr">
        <is>
          <t>Structure: CSF 6</t>
        </is>
      </c>
    </row>
    <row r="14">
      <c r="J14" s="6" t="inlineStr">
        <is>
          <t>Risk: CSF 7</t>
        </is>
      </c>
    </row>
    <row r="15">
      <c r="J15" s="6" t="inlineStr">
        <is>
          <t>Sustainability: CSF 8</t>
        </is>
      </c>
    </row>
    <row r="17">
      <c r="J17" s="4" t="inlineStr">
        <is>
          <t>HOW TO USE</t>
        </is>
      </c>
    </row>
    <row r="18">
      <c r="J18" s="6" t="inlineStr">
        <is>
          <t>1. Rate each CSF (1-5)</t>
        </is>
      </c>
    </row>
    <row r="19">
      <c r="J19" s="6" t="inlineStr">
        <is>
          <t>2. Document evidence</t>
        </is>
      </c>
    </row>
    <row r="20">
      <c r="J20" s="6" t="inlineStr">
        <is>
          <t>3. Identify actions needed</t>
        </is>
      </c>
    </row>
    <row r="21">
      <c r="J21" s="6" t="inlineStr">
        <is>
          <t>4. Review overall score</t>
        </is>
      </c>
    </row>
    <row r="23">
      <c r="J23" s="4" t="inlineStr">
        <is>
          <t>TIP</t>
        </is>
      </c>
    </row>
    <row r="24">
      <c r="J24" s="6" t="inlineStr">
        <is>
          <t>CSF 1 (Sponsorship) is the</t>
        </is>
      </c>
    </row>
    <row r="25">
      <c r="J25" s="6" t="inlineStr">
        <is>
          <t>strongest predictor of</t>
        </is>
      </c>
    </row>
    <row r="26">
      <c r="J26" s="6" t="inlineStr">
        <is>
          <t>change success.</t>
        </is>
      </c>
    </row>
  </sheetData>
  <mergeCells count="1">
    <mergeCell ref="J1:K1"/>
  </mergeCells>
  <dataValidations count="1">
    <dataValidation sqref="C4:C11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12" topLeftCell="M1" activePane="topRight" state="frozen"/>
      <selection pane="topRight" activeCell="A1" sqref="A1"/>
    </sheetView>
  </sheetViews>
  <sheetFormatPr baseColWidth="8" defaultRowHeight="15"/>
  <cols>
    <col width="10" customWidth="1" min="1" max="1"/>
    <col width="30" customWidth="1" min="2" max="2"/>
    <col width="15" customWidth="1" min="3" max="3"/>
    <col width="12" customWidth="1" min="4" max="4"/>
    <col width="10" customWidth="1" min="5" max="5"/>
    <col width="10" customWidth="1" min="6" max="6"/>
    <col width="30" customWidth="1" min="7" max="7"/>
    <col width="15" customWidth="1" min="8" max="8"/>
    <col width="12" customWidth="1" min="9" max="9"/>
    <col width="25" customWidth="1" min="11" max="11"/>
    <col width="45" customWidth="1" min="13" max="13"/>
  </cols>
  <sheetData>
    <row r="1">
      <c r="K1" s="10" t="inlineStr">
        <is>
          <t>RISK MATRIX</t>
        </is>
      </c>
      <c r="M1" s="2" t="inlineStr">
        <is>
          <t>INSTRUCTIONS</t>
        </is>
      </c>
    </row>
    <row r="2">
      <c r="A2" s="5" t="inlineStr">
        <is>
          <t>ID</t>
        </is>
      </c>
      <c r="B2" s="5" t="inlineStr">
        <is>
          <t>Risk Description</t>
        </is>
      </c>
      <c r="C2" s="5" t="inlineStr">
        <is>
          <t>Category</t>
        </is>
      </c>
      <c r="D2" s="5" t="inlineStr">
        <is>
          <t>Probability</t>
        </is>
      </c>
      <c r="E2" s="5" t="inlineStr">
        <is>
          <t>Impact</t>
        </is>
      </c>
      <c r="F2" s="5" t="inlineStr">
        <is>
          <t>Score</t>
        </is>
      </c>
      <c r="G2" s="5" t="inlineStr">
        <is>
          <t>Mitigation</t>
        </is>
      </c>
      <c r="H2" s="5" t="inlineStr">
        <is>
          <t>Owner</t>
        </is>
      </c>
      <c r="I2" s="5" t="inlineStr">
        <is>
          <t>Status</t>
        </is>
      </c>
      <c r="K2" t="inlineStr">
        <is>
          <t>Score = Probability x Impact</t>
        </is>
      </c>
    </row>
    <row r="3">
      <c r="A3" s="7" t="inlineStr">
        <is>
          <t>OCM-001</t>
        </is>
      </c>
      <c r="B3" s="9" t="inlineStr">
        <is>
          <t>Inadequate executive sponsorship</t>
        </is>
      </c>
      <c r="C3" s="9" t="inlineStr">
        <is>
          <t>Leadership</t>
        </is>
      </c>
      <c r="D3" s="7" t="inlineStr"/>
      <c r="E3" s="7" t="inlineStr"/>
      <c r="F3" s="7">
        <f>IF(OR(D3="",E3=""),"",D3*E3)</f>
        <v/>
      </c>
      <c r="G3" s="9" t="inlineStr"/>
      <c r="H3" s="9" t="inlineStr"/>
      <c r="I3" s="7" t="inlineStr">
        <is>
          <t>Open</t>
        </is>
      </c>
      <c r="K3" t="inlineStr">
        <is>
          <t>1-6: Low (Green)</t>
        </is>
      </c>
      <c r="M3" s="4" t="inlineStr">
        <is>
          <t>PURPOSE</t>
        </is>
      </c>
    </row>
    <row r="4">
      <c r="A4" s="7" t="inlineStr">
        <is>
          <t>OCM-002</t>
        </is>
      </c>
      <c r="B4" s="9" t="inlineStr">
        <is>
          <t>Resistance from key stakeholder groups</t>
        </is>
      </c>
      <c r="C4" s="9" t="inlineStr">
        <is>
          <t>People</t>
        </is>
      </c>
      <c r="D4" s="7" t="inlineStr"/>
      <c r="E4" s="7" t="inlineStr"/>
      <c r="F4" s="7">
        <f>IF(OR(D4="",E4=""),"",D4*E4)</f>
        <v/>
      </c>
      <c r="G4" s="9" t="inlineStr"/>
      <c r="H4" s="9" t="inlineStr"/>
      <c r="I4" s="7" t="inlineStr">
        <is>
          <t>Open</t>
        </is>
      </c>
      <c r="K4" t="inlineStr">
        <is>
          <t>8-12: Medium (Yellow)</t>
        </is>
      </c>
      <c r="M4" s="6" t="inlineStr">
        <is>
          <t>Track OCM-specific risks</t>
        </is>
      </c>
    </row>
    <row r="5">
      <c r="A5" s="7" t="inlineStr">
        <is>
          <t>OCM-003</t>
        </is>
      </c>
      <c r="B5" s="9" t="inlineStr">
        <is>
          <t>Insufficient training resources</t>
        </is>
      </c>
      <c r="C5" s="9" t="inlineStr">
        <is>
          <t>Capability</t>
        </is>
      </c>
      <c r="D5" s="7" t="inlineStr"/>
      <c r="E5" s="7" t="inlineStr"/>
      <c r="F5" s="7">
        <f>IF(OR(D5="",E5=""),"",D5*E5)</f>
        <v/>
      </c>
      <c r="G5" s="9" t="inlineStr"/>
      <c r="H5" s="9" t="inlineStr"/>
      <c r="I5" s="7" t="inlineStr">
        <is>
          <t>Open</t>
        </is>
      </c>
      <c r="K5" t="inlineStr">
        <is>
          <t>15-25: High (Red)</t>
        </is>
      </c>
      <c r="M5" s="6" t="inlineStr">
        <is>
          <t>with probability and impact.</t>
        </is>
      </c>
    </row>
    <row r="6">
      <c r="A6" s="7" t="inlineStr">
        <is>
          <t>OCM-004</t>
        </is>
      </c>
      <c r="B6" s="9" t="inlineStr">
        <is>
          <t>Communication gaps</t>
        </is>
      </c>
      <c r="C6" s="9" t="inlineStr">
        <is>
          <t>Communication</t>
        </is>
      </c>
      <c r="D6" s="7" t="inlineStr"/>
      <c r="E6" s="7" t="inlineStr"/>
      <c r="F6" s="7">
        <f>IF(OR(D6="",E6=""),"",D6*E6)</f>
        <v/>
      </c>
      <c r="G6" s="9" t="inlineStr"/>
      <c r="H6" s="9" t="inlineStr"/>
      <c r="I6" s="7" t="inlineStr">
        <is>
          <t>Open</t>
        </is>
      </c>
    </row>
    <row r="7">
      <c r="A7" s="7" t="inlineStr">
        <is>
          <t>OCM-005</t>
        </is>
      </c>
      <c r="B7" s="9" t="inlineStr">
        <is>
          <t>Timeline compression</t>
        </is>
      </c>
      <c r="C7" s="9" t="inlineStr">
        <is>
          <t>Schedule</t>
        </is>
      </c>
      <c r="D7" s="7" t="inlineStr"/>
      <c r="E7" s="7" t="inlineStr"/>
      <c r="F7" s="7">
        <f>IF(OR(D7="",E7=""),"",D7*E7)</f>
        <v/>
      </c>
      <c r="G7" s="9" t="inlineStr"/>
      <c r="H7" s="9" t="inlineStr"/>
      <c r="I7" s="7" t="inlineStr">
        <is>
          <t>Open</t>
        </is>
      </c>
      <c r="M7" s="4" t="inlineStr">
        <is>
          <t>CATEGORIES</t>
        </is>
      </c>
    </row>
    <row r="8">
      <c r="A8" s="9" t="inlineStr">
        <is>
          <t>OCM-006</t>
        </is>
      </c>
      <c r="B8" s="9" t="n"/>
      <c r="C8" s="9" t="n"/>
      <c r="D8" s="9" t="n"/>
      <c r="E8" s="9" t="n"/>
      <c r="F8" s="9">
        <f>IF(OR(D8="",E8=""),"",D8*E8)</f>
        <v/>
      </c>
      <c r="G8" s="9" t="n"/>
      <c r="H8" s="9" t="n"/>
      <c r="I8" s="9" t="inlineStr">
        <is>
          <t>Open</t>
        </is>
      </c>
      <c r="M8" s="6" t="inlineStr">
        <is>
          <t>Leadership - Sponsorship risks</t>
        </is>
      </c>
    </row>
    <row r="9">
      <c r="A9" s="9" t="inlineStr">
        <is>
          <t>OCM-007</t>
        </is>
      </c>
      <c r="B9" s="9" t="n"/>
      <c r="C9" s="9" t="n"/>
      <c r="D9" s="9" t="n"/>
      <c r="E9" s="9" t="n"/>
      <c r="F9" s="9">
        <f>IF(OR(D9="",E9=""),"",D9*E9)</f>
        <v/>
      </c>
      <c r="G9" s="9" t="n"/>
      <c r="H9" s="9" t="n"/>
      <c r="I9" s="9" t="inlineStr">
        <is>
          <t>Open</t>
        </is>
      </c>
      <c r="M9" s="6" t="inlineStr">
        <is>
          <t>People - Stakeholder resistance</t>
        </is>
      </c>
    </row>
    <row r="10">
      <c r="A10" s="9" t="inlineStr">
        <is>
          <t>OCM-008</t>
        </is>
      </c>
      <c r="B10" s="9" t="n"/>
      <c r="C10" s="9" t="n"/>
      <c r="D10" s="9" t="n"/>
      <c r="E10" s="9" t="n"/>
      <c r="F10" s="9">
        <f>IF(OR(D10="",E10=""),"",D10*E10)</f>
        <v/>
      </c>
      <c r="G10" s="9" t="n"/>
      <c r="H10" s="9" t="n"/>
      <c r="I10" s="9" t="inlineStr">
        <is>
          <t>Open</t>
        </is>
      </c>
      <c r="M10" s="6" t="inlineStr">
        <is>
          <t>Capability - Skills/training</t>
        </is>
      </c>
    </row>
    <row r="11">
      <c r="A11" s="9" t="inlineStr">
        <is>
          <t>OCM-009</t>
        </is>
      </c>
      <c r="B11" s="9" t="n"/>
      <c r="C11" s="9" t="n"/>
      <c r="D11" s="9" t="n"/>
      <c r="E11" s="9" t="n"/>
      <c r="F11" s="9">
        <f>IF(OR(D11="",E11=""),"",D11*E11)</f>
        <v/>
      </c>
      <c r="G11" s="9" t="n"/>
      <c r="H11" s="9" t="n"/>
      <c r="I11" s="9" t="inlineStr">
        <is>
          <t>Open</t>
        </is>
      </c>
      <c r="M11" s="6" t="inlineStr">
        <is>
          <t>Communication - Message gaps</t>
        </is>
      </c>
    </row>
    <row r="12">
      <c r="A12" s="9" t="inlineStr">
        <is>
          <t>OCM-010</t>
        </is>
      </c>
      <c r="B12" s="9" t="n"/>
      <c r="C12" s="9" t="n"/>
      <c r="D12" s="9" t="n"/>
      <c r="E12" s="9" t="n"/>
      <c r="F12" s="9">
        <f>IF(OR(D12="",E12=""),"",D12*E12)</f>
        <v/>
      </c>
      <c r="G12" s="9" t="n"/>
      <c r="H12" s="9" t="n"/>
      <c r="I12" s="9" t="inlineStr">
        <is>
          <t>Open</t>
        </is>
      </c>
      <c r="M12" s="6" t="inlineStr">
        <is>
          <t>Schedule - Timeline risks</t>
        </is>
      </c>
    </row>
    <row r="13">
      <c r="A13" s="9" t="inlineStr">
        <is>
          <t>OCM-011</t>
        </is>
      </c>
      <c r="B13" s="9" t="n"/>
      <c r="C13" s="9" t="n"/>
      <c r="D13" s="9" t="n"/>
      <c r="E13" s="9" t="n"/>
      <c r="F13" s="9">
        <f>IF(OR(D13="",E13=""),"",D13*E13)</f>
        <v/>
      </c>
      <c r="G13" s="9" t="n"/>
      <c r="H13" s="9" t="n"/>
      <c r="I13" s="9" t="inlineStr">
        <is>
          <t>Open</t>
        </is>
      </c>
      <c r="M13" s="6" t="inlineStr">
        <is>
          <t>Resource - Capacity issues</t>
        </is>
      </c>
    </row>
    <row r="14">
      <c r="A14" s="9" t="inlineStr">
        <is>
          <t>OCM-012</t>
        </is>
      </c>
      <c r="B14" s="9" t="n"/>
      <c r="C14" s="9" t="n"/>
      <c r="D14" s="9" t="n"/>
      <c r="E14" s="9" t="n"/>
      <c r="F14" s="9">
        <f>IF(OR(D14="",E14=""),"",D14*E14)</f>
        <v/>
      </c>
      <c r="G14" s="9" t="n"/>
      <c r="H14" s="9" t="n"/>
      <c r="I14" s="9" t="inlineStr">
        <is>
          <t>Open</t>
        </is>
      </c>
    </row>
    <row r="15">
      <c r="A15" s="9" t="inlineStr">
        <is>
          <t>OCM-013</t>
        </is>
      </c>
      <c r="B15" s="9" t="n"/>
      <c r="C15" s="9" t="n"/>
      <c r="D15" s="9" t="n"/>
      <c r="E15" s="9" t="n"/>
      <c r="F15" s="9">
        <f>IF(OR(D15="",E15=""),"",D15*E15)</f>
        <v/>
      </c>
      <c r="G15" s="9" t="n"/>
      <c r="H15" s="9" t="n"/>
      <c r="I15" s="9" t="inlineStr">
        <is>
          <t>Open</t>
        </is>
      </c>
      <c r="M15" s="4" t="inlineStr">
        <is>
          <t>SCORING</t>
        </is>
      </c>
    </row>
    <row r="16">
      <c r="A16" s="9" t="inlineStr">
        <is>
          <t>OCM-014</t>
        </is>
      </c>
      <c r="B16" s="9" t="n"/>
      <c r="C16" s="9" t="n"/>
      <c r="D16" s="9" t="n"/>
      <c r="E16" s="9" t="n"/>
      <c r="F16" s="9">
        <f>IF(OR(D16="",E16=""),"",D16*E16)</f>
        <v/>
      </c>
      <c r="G16" s="9" t="n"/>
      <c r="H16" s="9" t="n"/>
      <c r="I16" s="9" t="inlineStr">
        <is>
          <t>Open</t>
        </is>
      </c>
      <c r="M16" s="6" t="inlineStr">
        <is>
          <t>Probability: 1=Rare to 5=Certain</t>
        </is>
      </c>
    </row>
    <row r="17">
      <c r="A17" s="9" t="inlineStr">
        <is>
          <t>OCM-015</t>
        </is>
      </c>
      <c r="B17" s="9" t="n"/>
      <c r="C17" s="9" t="n"/>
      <c r="D17" s="9" t="n"/>
      <c r="E17" s="9" t="n"/>
      <c r="F17" s="9">
        <f>IF(OR(D17="",E17=""),"",D17*E17)</f>
        <v/>
      </c>
      <c r="G17" s="9" t="n"/>
      <c r="H17" s="9" t="n"/>
      <c r="I17" s="9" t="inlineStr">
        <is>
          <t>Open</t>
        </is>
      </c>
      <c r="M17" s="6" t="inlineStr">
        <is>
          <t>Impact: 1=Minor to 5=Critical</t>
        </is>
      </c>
    </row>
    <row r="18">
      <c r="A18" s="9" t="inlineStr">
        <is>
          <t>OCM-016</t>
        </is>
      </c>
      <c r="B18" s="9" t="n"/>
      <c r="C18" s="9" t="n"/>
      <c r="D18" s="9" t="n"/>
      <c r="E18" s="9" t="n"/>
      <c r="F18" s="9">
        <f>IF(OR(D18="",E18=""),"",D18*E18)</f>
        <v/>
      </c>
      <c r="G18" s="9" t="n"/>
      <c r="H18" s="9" t="n"/>
      <c r="I18" s="9" t="inlineStr">
        <is>
          <t>Open</t>
        </is>
      </c>
      <c r="M18" s="6" t="inlineStr">
        <is>
          <t>Score = P x I (auto-calculated)</t>
        </is>
      </c>
    </row>
    <row r="19">
      <c r="A19" s="9" t="inlineStr">
        <is>
          <t>OCM-017</t>
        </is>
      </c>
      <c r="B19" s="9" t="n"/>
      <c r="C19" s="9" t="n"/>
      <c r="D19" s="9" t="n"/>
      <c r="E19" s="9" t="n"/>
      <c r="F19" s="9">
        <f>IF(OR(D19="",E19=""),"",D19*E19)</f>
        <v/>
      </c>
      <c r="G19" s="9" t="n"/>
      <c r="H19" s="9" t="n"/>
      <c r="I19" s="9" t="inlineStr">
        <is>
          <t>Open</t>
        </is>
      </c>
    </row>
    <row r="20">
      <c r="A20" s="9" t="inlineStr">
        <is>
          <t>OCM-018</t>
        </is>
      </c>
      <c r="B20" s="9" t="n"/>
      <c r="C20" s="9" t="n"/>
      <c r="D20" s="9" t="n"/>
      <c r="E20" s="9" t="n"/>
      <c r="F20" s="9">
        <f>IF(OR(D20="",E20=""),"",D20*E20)</f>
        <v/>
      </c>
      <c r="G20" s="9" t="n"/>
      <c r="H20" s="9" t="n"/>
      <c r="I20" s="9" t="inlineStr">
        <is>
          <t>Open</t>
        </is>
      </c>
      <c r="M20" s="4" t="inlineStr">
        <is>
          <t>MANAGEMENT</t>
        </is>
      </c>
    </row>
    <row r="21">
      <c r="A21" s="9" t="inlineStr">
        <is>
          <t>OCM-019</t>
        </is>
      </c>
      <c r="B21" s="9" t="n"/>
      <c r="C21" s="9" t="n"/>
      <c r="D21" s="9" t="n"/>
      <c r="E21" s="9" t="n"/>
      <c r="F21" s="9">
        <f>IF(OR(D21="",E21=""),"",D21*E21)</f>
        <v/>
      </c>
      <c r="G21" s="9" t="n"/>
      <c r="H21" s="9" t="n"/>
      <c r="I21" s="9" t="inlineStr">
        <is>
          <t>Open</t>
        </is>
      </c>
      <c r="M21" s="6" t="inlineStr">
        <is>
          <t>High (15+): Escalate, urgent</t>
        </is>
      </c>
    </row>
    <row r="22">
      <c r="A22" s="9" t="inlineStr">
        <is>
          <t>OCM-020</t>
        </is>
      </c>
      <c r="B22" s="9" t="n"/>
      <c r="C22" s="9" t="n"/>
      <c r="D22" s="9" t="n"/>
      <c r="E22" s="9" t="n"/>
      <c r="F22" s="9">
        <f>IF(OR(D22="",E22=""),"",D22*E22)</f>
        <v/>
      </c>
      <c r="G22" s="9" t="n"/>
      <c r="H22" s="9" t="n"/>
      <c r="I22" s="9" t="inlineStr">
        <is>
          <t>Open</t>
        </is>
      </c>
      <c r="M22" s="6" t="inlineStr">
        <is>
          <t>Medium (8-14): Monitor closely</t>
        </is>
      </c>
    </row>
    <row r="23">
      <c r="M23" s="6" t="inlineStr">
        <is>
          <t>Low (1-6): Track, review monthly</t>
        </is>
      </c>
    </row>
  </sheetData>
  <mergeCells count="1">
    <mergeCell ref="M1:N1"/>
  </mergeCells>
  <dataValidations count="4">
    <dataValidation sqref="D3:D22" showDropDown="0" showInputMessage="0" showErrorMessage="0" allowBlank="1" error="Enter 1-5" type="whole" operator="between">
      <formula1>1</formula1>
      <formula2>5</formula2>
    </dataValidation>
    <dataValidation sqref="E3:E22" showDropDown="0" showInputMessage="0" showErrorMessage="0" allowBlank="1" error="Enter 1-5" type="whole" operator="between">
      <formula1>1</formula1>
      <formula2>5</formula2>
    </dataValidation>
    <dataValidation sqref="C3:C22" showDropDown="0" showInputMessage="0" showErrorMessage="0" allowBlank="1" type="list">
      <formula1>"Leadership,People,Capability,Communication,Schedule,Resource,Technical,External"</formula1>
    </dataValidation>
    <dataValidation sqref="I3:I22" showDropDown="0" showInputMessage="0" showErrorMessage="0" allowBlank="1" type="list">
      <formula1>"Open,Mitigating,Closed,Accepted"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0" topLeftCell="K1" activePane="topRight" state="frozen"/>
      <selection pane="topRigh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5" customWidth="1" min="4" max="4"/>
    <col width="15" customWidth="1" min="5" max="5"/>
    <col width="35" customWidth="1" min="6" max="6"/>
    <col width="5" customWidth="1" min="8" max="8"/>
    <col width="35" customWidth="1" min="9" max="9"/>
    <col width="45" customWidth="1" min="11" max="11"/>
  </cols>
  <sheetData>
    <row r="1">
      <c r="H1" s="10" t="inlineStr">
        <is>
          <t>IMPACT SCALE</t>
        </is>
      </c>
      <c r="K1" s="2" t="inlineStr">
        <is>
          <t>INSTRUCTIONS</t>
        </is>
      </c>
    </row>
    <row r="2">
      <c r="A2" s="5" t="inlineStr">
        <is>
          <t>Stakeholder Group</t>
        </is>
      </c>
      <c r="B2" s="5" t="inlineStr">
        <is>
          <t>Process Impact</t>
        </is>
      </c>
      <c r="C2" s="5" t="inlineStr">
        <is>
          <t>Technology Impact</t>
        </is>
      </c>
      <c r="D2" s="5" t="inlineStr">
        <is>
          <t>People Impact</t>
        </is>
      </c>
      <c r="E2" s="5" t="inlineStr">
        <is>
          <t>Overall Impact</t>
        </is>
      </c>
      <c r="F2" s="5" t="inlineStr">
        <is>
          <t>Readiness Actions</t>
        </is>
      </c>
      <c r="H2" s="15" t="inlineStr">
        <is>
          <t>5</t>
        </is>
      </c>
      <c r="I2" t="inlineStr">
        <is>
          <t>Transformational - Fundamental change</t>
        </is>
      </c>
    </row>
    <row r="3">
      <c r="A3" s="9" t="inlineStr">
        <is>
          <t>Executive Team</t>
        </is>
      </c>
      <c r="B3" s="7" t="inlineStr"/>
      <c r="C3" s="7" t="inlineStr"/>
      <c r="D3" s="7" t="inlineStr"/>
      <c r="E3" s="7">
        <f>IF(COUNTA(B3:D3)=0,"",ROUND(AVERAGE(B3:D3),0))</f>
        <v/>
      </c>
      <c r="F3" s="9" t="inlineStr"/>
      <c r="H3" s="15" t="inlineStr">
        <is>
          <t>4</t>
        </is>
      </c>
      <c r="I3" t="inlineStr">
        <is>
          <t>High - Significant change</t>
        </is>
      </c>
      <c r="K3" s="4" t="inlineStr">
        <is>
          <t>PURPOSE</t>
        </is>
      </c>
    </row>
    <row r="4">
      <c r="A4" s="9" t="inlineStr">
        <is>
          <t>IT Department</t>
        </is>
      </c>
      <c r="B4" s="7" t="inlineStr"/>
      <c r="C4" s="7" t="inlineStr"/>
      <c r="D4" s="7" t="inlineStr"/>
      <c r="E4" s="7">
        <f>IF(COUNTA(B4:D4)=0,"",ROUND(AVERAGE(B4:D4),0))</f>
        <v/>
      </c>
      <c r="F4" s="9" t="inlineStr"/>
      <c r="H4" s="15" t="inlineStr">
        <is>
          <t>3</t>
        </is>
      </c>
      <c r="I4" t="inlineStr">
        <is>
          <t>Moderate - Notable change</t>
        </is>
      </c>
      <c r="K4" s="6" t="inlineStr">
        <is>
          <t>Assess change impact by</t>
        </is>
      </c>
    </row>
    <row r="5">
      <c r="A5" s="9" t="inlineStr">
        <is>
          <t>Operations</t>
        </is>
      </c>
      <c r="B5" s="7" t="inlineStr"/>
      <c r="C5" s="7" t="inlineStr"/>
      <c r="D5" s="7" t="inlineStr"/>
      <c r="E5" s="7">
        <f>IF(COUNTA(B5:D5)=0,"",ROUND(AVERAGE(B5:D5),0))</f>
        <v/>
      </c>
      <c r="F5" s="9" t="inlineStr"/>
      <c r="H5" s="15" t="inlineStr">
        <is>
          <t>2</t>
        </is>
      </c>
      <c r="I5" t="inlineStr">
        <is>
          <t>Low - Minor adjustment</t>
        </is>
      </c>
      <c r="K5" s="6" t="inlineStr">
        <is>
          <t>stakeholder group across</t>
        </is>
      </c>
    </row>
    <row r="6">
      <c r="A6" s="9" t="inlineStr">
        <is>
          <t>Sales</t>
        </is>
      </c>
      <c r="B6" s="7" t="inlineStr"/>
      <c r="C6" s="7" t="inlineStr"/>
      <c r="D6" s="7" t="inlineStr"/>
      <c r="E6" s="7">
        <f>IF(COUNTA(B6:D6)=0,"",ROUND(AVERAGE(B6:D6),0))</f>
        <v/>
      </c>
      <c r="F6" s="9" t="inlineStr"/>
      <c r="H6" s="15" t="inlineStr">
        <is>
          <t>1</t>
        </is>
      </c>
      <c r="I6" t="inlineStr">
        <is>
          <t>Minimal - Little change</t>
        </is>
      </c>
      <c r="K6" s="6" t="inlineStr">
        <is>
          <t>process, technology, people.</t>
        </is>
      </c>
    </row>
    <row r="7">
      <c r="A7" s="9" t="inlineStr">
        <is>
          <t>Customer Service</t>
        </is>
      </c>
      <c r="B7" s="7" t="inlineStr"/>
      <c r="C7" s="7" t="inlineStr"/>
      <c r="D7" s="7" t="inlineStr"/>
      <c r="E7" s="7">
        <f>IF(COUNTA(B7:D7)=0,"",ROUND(AVERAGE(B7:D7),0))</f>
        <v/>
      </c>
      <c r="F7" s="9" t="inlineStr"/>
    </row>
    <row r="8">
      <c r="A8" s="9" t="inlineStr">
        <is>
          <t>HR</t>
        </is>
      </c>
      <c r="B8" s="7" t="inlineStr"/>
      <c r="C8" s="7" t="inlineStr"/>
      <c r="D8" s="7" t="inlineStr"/>
      <c r="E8" s="7">
        <f>IF(COUNTA(B8:D8)=0,"",ROUND(AVERAGE(B8:D8),0))</f>
        <v/>
      </c>
      <c r="F8" s="9" t="inlineStr"/>
      <c r="K8" s="4" t="inlineStr">
        <is>
          <t>IMPACT DIMENSIONS</t>
        </is>
      </c>
    </row>
    <row r="9">
      <c r="A9" s="9" t="inlineStr">
        <is>
          <t>Finance</t>
        </is>
      </c>
      <c r="B9" s="7" t="inlineStr"/>
      <c r="C9" s="7" t="inlineStr"/>
      <c r="D9" s="7" t="inlineStr"/>
      <c r="E9" s="7">
        <f>IF(COUNTA(B9:D9)=0,"",ROUND(AVERAGE(B9:D9),0))</f>
        <v/>
      </c>
      <c r="F9" s="9" t="inlineStr"/>
      <c r="K9" s="6" t="inlineStr">
        <is>
          <t>Process - Workflow changes</t>
        </is>
      </c>
    </row>
    <row r="10">
      <c r="A10" s="9" t="n"/>
      <c r="B10" s="9" t="n"/>
      <c r="C10" s="9" t="n"/>
      <c r="D10" s="9" t="n"/>
      <c r="E10" s="9">
        <f>IF(COUNTA(B10:D10)=0,"",ROUND(AVERAGE(B10:D10),0))</f>
        <v/>
      </c>
      <c r="F10" s="9" t="n"/>
      <c r="K10" s="6" t="inlineStr">
        <is>
          <t>Technology - System changes</t>
        </is>
      </c>
    </row>
    <row r="11">
      <c r="A11" s="9" t="n"/>
      <c r="B11" s="9" t="n"/>
      <c r="C11" s="9" t="n"/>
      <c r="D11" s="9" t="n"/>
      <c r="E11" s="9">
        <f>IF(COUNTA(B11:D11)=0,"",ROUND(AVERAGE(B11:D11),0))</f>
        <v/>
      </c>
      <c r="F11" s="9" t="n"/>
      <c r="K11" s="6" t="inlineStr">
        <is>
          <t>People - Role/skill changes</t>
        </is>
      </c>
    </row>
    <row r="12">
      <c r="A12" s="9" t="n"/>
      <c r="B12" s="9" t="n"/>
      <c r="C12" s="9" t="n"/>
      <c r="D12" s="9" t="n"/>
      <c r="E12" s="9">
        <f>IF(COUNTA(B12:D12)=0,"",ROUND(AVERAGE(B12:D12),0))</f>
        <v/>
      </c>
      <c r="F12" s="9" t="n"/>
    </row>
    <row r="13">
      <c r="A13" s="9" t="n"/>
      <c r="B13" s="9" t="n"/>
      <c r="C13" s="9" t="n"/>
      <c r="D13" s="9" t="n"/>
      <c r="E13" s="9">
        <f>IF(COUNTA(B13:D13)=0,"",ROUND(AVERAGE(B13:D13),0))</f>
        <v/>
      </c>
      <c r="F13" s="9" t="n"/>
      <c r="K13" s="4" t="inlineStr">
        <is>
          <t>HOW TO USE</t>
        </is>
      </c>
    </row>
    <row r="14">
      <c r="A14" s="9" t="n"/>
      <c r="B14" s="9" t="n"/>
      <c r="C14" s="9" t="n"/>
      <c r="D14" s="9" t="n"/>
      <c r="E14" s="9">
        <f>IF(COUNTA(B14:D14)=0,"",ROUND(AVERAGE(B14:D14),0))</f>
        <v/>
      </c>
      <c r="F14" s="9" t="n"/>
      <c r="K14" s="6" t="inlineStr">
        <is>
          <t>1. List all affected groups</t>
        </is>
      </c>
    </row>
    <row r="15">
      <c r="A15" s="9" t="n"/>
      <c r="B15" s="9" t="n"/>
      <c r="C15" s="9" t="n"/>
      <c r="D15" s="9" t="n"/>
      <c r="E15" s="9">
        <f>IF(COUNTA(B15:D15)=0,"",ROUND(AVERAGE(B15:D15),0))</f>
        <v/>
      </c>
      <c r="F15" s="9" t="n"/>
      <c r="K15" s="6" t="inlineStr">
        <is>
          <t>2. Rate each dimension (1-5)</t>
        </is>
      </c>
    </row>
    <row r="16">
      <c r="A16" s="9" t="n"/>
      <c r="B16" s="9" t="n"/>
      <c r="C16" s="9" t="n"/>
      <c r="D16" s="9" t="n"/>
      <c r="E16" s="9">
        <f>IF(COUNTA(B16:D16)=0,"",ROUND(AVERAGE(B16:D16),0))</f>
        <v/>
      </c>
      <c r="F16" s="9" t="n"/>
      <c r="K16" s="6" t="inlineStr">
        <is>
          <t>3. Overall auto-calculates</t>
        </is>
      </c>
    </row>
    <row r="17">
      <c r="A17" s="9" t="n"/>
      <c r="B17" s="9" t="n"/>
      <c r="C17" s="9" t="n"/>
      <c r="D17" s="9" t="n"/>
      <c r="E17" s="9">
        <f>IF(COUNTA(B17:D17)=0,"",ROUND(AVERAGE(B17:D17),0))</f>
        <v/>
      </c>
      <c r="F17" s="9" t="n"/>
      <c r="K17" s="6" t="inlineStr">
        <is>
          <t>4. Plan readiness actions</t>
        </is>
      </c>
    </row>
    <row r="18">
      <c r="A18" s="9" t="n"/>
      <c r="B18" s="9" t="n"/>
      <c r="C18" s="9" t="n"/>
      <c r="D18" s="9" t="n"/>
      <c r="E18" s="9">
        <f>IF(COUNTA(B18:D18)=0,"",ROUND(AVERAGE(B18:D18),0))</f>
        <v/>
      </c>
      <c r="F18" s="9" t="n"/>
    </row>
    <row r="19">
      <c r="A19" s="9" t="n"/>
      <c r="B19" s="9" t="n"/>
      <c r="C19" s="9" t="n"/>
      <c r="D19" s="9" t="n"/>
      <c r="E19" s="9">
        <f>IF(COUNTA(B19:D19)=0,"",ROUND(AVERAGE(B19:D19),0))</f>
        <v/>
      </c>
      <c r="F19" s="9" t="n"/>
      <c r="K19" s="4" t="inlineStr">
        <is>
          <t>READINESS ACTIONS</t>
        </is>
      </c>
    </row>
    <row r="20">
      <c r="A20" s="9" t="n"/>
      <c r="B20" s="9" t="n"/>
      <c r="C20" s="9" t="n"/>
      <c r="D20" s="9" t="n"/>
      <c r="E20" s="9">
        <f>IF(COUNTA(B20:D20)=0,"",ROUND(AVERAGE(B20:D20),0))</f>
        <v/>
      </c>
      <c r="F20" s="9" t="n"/>
      <c r="K20" s="6" t="inlineStr">
        <is>
          <t>High impact groups need:</t>
        </is>
      </c>
    </row>
    <row r="21">
      <c r="A21" s="9" t="n"/>
      <c r="B21" s="9" t="n"/>
      <c r="C21" s="9" t="n"/>
      <c r="D21" s="9" t="n"/>
      <c r="E21" s="9">
        <f>IF(COUNTA(B21:D21)=0,"",ROUND(AVERAGE(B21:D21),0))</f>
        <v/>
      </c>
      <c r="F21" s="9" t="n"/>
      <c r="K21" s="6" t="inlineStr">
        <is>
          <t>- More communication</t>
        </is>
      </c>
    </row>
    <row r="22">
      <c r="A22" s="9" t="n"/>
      <c r="B22" s="9" t="n"/>
      <c r="C22" s="9" t="n"/>
      <c r="D22" s="9" t="n"/>
      <c r="E22" s="9">
        <f>IF(COUNTA(B22:D22)=0,"",ROUND(AVERAGE(B22:D22),0))</f>
        <v/>
      </c>
      <c r="F22" s="9" t="n"/>
      <c r="K22" s="6" t="inlineStr">
        <is>
          <t>- Deeper training</t>
        </is>
      </c>
    </row>
    <row r="23">
      <c r="A23" s="9" t="n"/>
      <c r="B23" s="9" t="n"/>
      <c r="C23" s="9" t="n"/>
      <c r="D23" s="9" t="n"/>
      <c r="E23" s="9">
        <f>IF(COUNTA(B23:D23)=0,"",ROUND(AVERAGE(B23:D23),0))</f>
        <v/>
      </c>
      <c r="F23" s="9" t="n"/>
      <c r="K23" s="6" t="inlineStr">
        <is>
          <t>- Closer support</t>
        </is>
      </c>
    </row>
    <row r="24">
      <c r="A24" s="9" t="n"/>
      <c r="B24" s="9" t="n"/>
      <c r="C24" s="9" t="n"/>
      <c r="D24" s="9" t="n"/>
      <c r="E24" s="9">
        <f>IF(COUNTA(B24:D24)=0,"",ROUND(AVERAGE(B24:D24),0))</f>
        <v/>
      </c>
      <c r="F24" s="9" t="n"/>
      <c r="K24" s="6" t="inlineStr">
        <is>
          <t>- Earlier engagement</t>
        </is>
      </c>
    </row>
  </sheetData>
  <mergeCells count="1">
    <mergeCell ref="K1:L1"/>
  </mergeCells>
  <dataValidations count="1">
    <dataValidation sqref="B3:D24" showDropDown="0" showInputMessage="0" showErrorMessage="0" allowBlank="1" error="Enter 1-5" type="whole" operator="between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2025-12-04T08:16:06Z</dcterms:created>
  <dcterms:modified xsi:type="dcterms:W3CDTF">2025-12-04T08:16:06Z</dcterms:modified>
</cp:coreProperties>
</file>