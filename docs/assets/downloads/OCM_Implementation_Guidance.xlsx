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mplementation Roadmap" sheetId="2" state="visible" r:id="rId2"/>
    <sheet name="ADKAR Assessment" sheetId="3" state="visible" r:id="rId3"/>
    <sheet name="Stakeholder Analysis" sheetId="4" state="visible" r:id="rId4"/>
    <sheet name="Communication Plan" sheetId="5" state="visible" r:id="rId5"/>
    <sheet name="Training Plan" sheetId="6" state="visible" r:id="rId6"/>
    <sheet name="Sponsorship Tracker" sheetId="7" state="visible" r:id="rId7"/>
    <sheet name="Resistance Log" sheetId="8" state="visible" r:id="rId8"/>
    <sheet name="KPI Dashboard" sheetId="9" state="visible" r:id="rId9"/>
    <sheet name="Maturity Assessment" sheetId="10" state="visible" r:id="rId10"/>
    <sheet name="CSF Checklist" sheetId="11" state="visible" r:id="rId11"/>
    <sheet name="Risk Register" sheetId="12" state="visible" r:id="rId12"/>
    <sheet name="Change Impa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E75B6"/>
      <sz val="20"/>
    </font>
    <font>
      <i val="1"/>
      <color rgb="00666666"/>
      <sz val="10"/>
    </font>
    <font>
      <b val="1"/>
      <color rgb="00FFFFFF"/>
      <sz val="12"/>
    </font>
    <font>
      <b val="1"/>
      <color rgb="00FFFFFF"/>
      <sz val="11"/>
    </font>
    <font>
      <b val="1"/>
      <color rgb="002E75B6"/>
      <sz val="14"/>
    </font>
    <font>
      <b val="1"/>
      <color rgb="002E75B6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8" topLeftCell="I1" activePane="topRight" state="frozen"/>
      <selection pane="topRigh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6" customWidth="1" min="5" max="5"/>
    <col width="10" customWidth="1" min="6" max="6"/>
    <col width="10" customWidth="1" min="7" max="7"/>
    <col width="28" customWidth="1" min="9" max="9"/>
  </cols>
  <sheetData>
    <row r="1">
      <c r="A1" s="1" t="inlineStr">
        <is>
          <t>OCM Implementation Dashboard</t>
        </is>
      </c>
      <c r="I1" s="2" t="inlineStr">
        <is>
          <t>DASHBOARD GUIDE</t>
        </is>
      </c>
    </row>
    <row r="2">
      <c r="A2" s="3" t="inlineStr">
        <is>
          <t>Auto-populated from worksheet data</t>
        </is>
      </c>
      <c r="I2" s="4" t="inlineStr">
        <is>
          <t>This dashboard auto-populates</t>
        </is>
      </c>
    </row>
    <row r="3">
      <c r="I3" s="4" t="inlineStr">
        <is>
          <t>from all other worksheets.</t>
        </is>
      </c>
    </row>
    <row r="4">
      <c r="A4" s="5" t="inlineStr">
        <is>
          <t>OVERALL OCM HEALTH</t>
        </is>
      </c>
      <c r="E4" s="5" t="inlineStr">
        <is>
          <t>STAKEHOLDER SUMMARY</t>
        </is>
      </c>
      <c r="I4" s="4" t="inlineStr"/>
    </row>
    <row r="5">
      <c r="A5" s="6" t="inlineStr">
        <is>
          <t>Metric</t>
        </is>
      </c>
      <c r="B5" s="6" t="inlineStr">
        <is>
          <t>Score</t>
        </is>
      </c>
      <c r="C5" s="6" t="inlineStr">
        <is>
          <t>Status</t>
        </is>
      </c>
      <c r="E5" s="6" t="inlineStr">
        <is>
          <t>Strategy</t>
        </is>
      </c>
      <c r="F5" s="6" t="inlineStr">
        <is>
          <t>Count</t>
        </is>
      </c>
      <c r="G5" s="6" t="inlineStr">
        <is>
          <t>%</t>
        </is>
      </c>
      <c r="I5" s="4" t="inlineStr">
        <is>
          <t>Update source sheets to</t>
        </is>
      </c>
    </row>
    <row r="6">
      <c r="A6" s="7" t="inlineStr">
        <is>
          <t>CSF Average</t>
        </is>
      </c>
      <c r="B6" s="7">
        <f>'CSF Checklist'!B21</f>
        <v/>
      </c>
      <c r="C6" s="7">
        <f>IF(B6="","",IF(B6&gt;=4,"On Track",IF(B6&gt;=3,"Monitor","At Risk")))</f>
        <v/>
      </c>
      <c r="E6" s="7" t="inlineStr">
        <is>
          <t>Manage Closely</t>
        </is>
      </c>
      <c r="F6" s="7">
        <f>COUNTIF('Stakeholder Analysis'!I4:I50,"Manage Closely")</f>
        <v/>
      </c>
      <c r="G6" s="8">
        <f>IF(SUM(F6:F9)=0,"",F6/SUM(F6:F9))</f>
        <v/>
      </c>
      <c r="I6" s="4" t="inlineStr">
        <is>
          <t>refresh these metrics.</t>
        </is>
      </c>
    </row>
    <row r="7">
      <c r="A7" s="7" t="inlineStr">
        <is>
          <t>Maturity Score</t>
        </is>
      </c>
      <c r="B7" s="7">
        <f>'Maturity Assessment'!B17</f>
        <v/>
      </c>
      <c r="C7" s="7">
        <f>IF(B7="","",IF(B7&gt;=4,"On Track",IF(B7&gt;=3,"Monitor","At Risk")))</f>
        <v/>
      </c>
      <c r="E7" s="7" t="inlineStr">
        <is>
          <t>Keep Satisfied</t>
        </is>
      </c>
      <c r="F7" s="7">
        <f>COUNTIF('Stakeholder Analysis'!I4:I50,"Keep Satisfied")</f>
        <v/>
      </c>
      <c r="G7" s="8">
        <f>IF(SUM(F6:F9)=0,"",F7/SUM(F6:F9))</f>
        <v/>
      </c>
      <c r="I7" s="4" t="inlineStr"/>
    </row>
    <row r="8">
      <c r="E8" s="7" t="inlineStr">
        <is>
          <t>Keep Informed</t>
        </is>
      </c>
      <c r="F8" s="7">
        <f>COUNTIF('Stakeholder Analysis'!I4:I50,"Keep Informed")</f>
        <v/>
      </c>
      <c r="G8" s="8">
        <f>IF(SUM(F6:F9)=0,"",F8/SUM(F6:F9))</f>
        <v/>
      </c>
      <c r="I8" s="4" t="inlineStr">
        <is>
          <t>STATUS INDICATORS:</t>
        </is>
      </c>
    </row>
    <row r="9">
      <c r="A9" s="5" t="inlineStr">
        <is>
          <t>IMPLEMENTATION PROGRESS</t>
        </is>
      </c>
      <c r="E9" s="7" t="inlineStr">
        <is>
          <t>Monitor</t>
        </is>
      </c>
      <c r="F9" s="7">
        <f>COUNTIF('Stakeholder Analysis'!I4:I50,"Monitor")</f>
        <v/>
      </c>
      <c r="G9" s="8">
        <f>IF(SUM(F6:F9)=0,"",F9/SUM(F6:F9))</f>
        <v/>
      </c>
      <c r="I9" s="4" t="inlineStr">
        <is>
          <t>On Track = Score ≥4</t>
        </is>
      </c>
    </row>
    <row r="10">
      <c r="A10" s="6" t="inlineStr">
        <is>
          <t>Status</t>
        </is>
      </c>
      <c r="B10" s="6" t="inlineStr">
        <is>
          <t>Count</t>
        </is>
      </c>
      <c r="C10" s="6" t="inlineStr">
        <is>
          <t>%</t>
        </is>
      </c>
      <c r="I10" s="4" t="inlineStr">
        <is>
          <t>Monitor = Score 3-4</t>
        </is>
      </c>
    </row>
    <row r="11">
      <c r="A11" s="7" t="inlineStr">
        <is>
          <t>Complete</t>
        </is>
      </c>
      <c r="B11" s="7">
        <f>COUNTIF('Implementation Roadmap'!G4:G50,"Complete")</f>
        <v/>
      </c>
      <c r="C11" s="8">
        <f>IF(B11+B12+B13+B14=0,"",B11/(B11+B12+B13+B14))</f>
        <v/>
      </c>
      <c r="E11" s="5" t="inlineStr">
        <is>
          <t>ADKAR GAP SUMMARY</t>
        </is>
      </c>
      <c r="I11" s="4" t="inlineStr">
        <is>
          <t>At Risk = Score &lt;3</t>
        </is>
      </c>
    </row>
    <row r="12">
      <c r="A12" s="7" t="inlineStr">
        <is>
          <t>In Progress</t>
        </is>
      </c>
      <c r="B12" s="7">
        <f>COUNTIF('Implementation Roadmap'!G4:G50,"In Progress")</f>
        <v/>
      </c>
      <c r="C12" s="8">
        <f>IF(B11+B12+B13+B14=0,"",B12/(B11+B12+B13+B14))</f>
        <v/>
      </c>
      <c r="E12" s="6" t="inlineStr">
        <is>
          <t>Gap Type</t>
        </is>
      </c>
      <c r="F12" s="6" t="inlineStr">
        <is>
          <t>Count</t>
        </is>
      </c>
      <c r="G12" s="6" t="inlineStr">
        <is>
          <t>Priority</t>
        </is>
      </c>
    </row>
    <row r="13">
      <c r="A13" s="7" t="inlineStr">
        <is>
          <t>Not Started</t>
        </is>
      </c>
      <c r="B13" s="7">
        <f>COUNTIF('Implementation Roadmap'!G4:G50,"Not Started")</f>
        <v/>
      </c>
      <c r="C13" s="8">
        <f>IF(B11+B12+B13+B14=0,"",B13/(B11+B12+B13+B14))</f>
        <v/>
      </c>
      <c r="E13" s="7" t="inlineStr">
        <is>
          <t>Awareness</t>
        </is>
      </c>
      <c r="F13" s="7">
        <f>COUNTIF('ADKAR Assessment'!H4:H50,"Awareness")</f>
        <v/>
      </c>
      <c r="G13" s="7">
        <f>IF(F13&gt;=F14,IF(F13&gt;=F15,IF(F13&gt;=F16,IF(F13&gt;=F17,"HIGH",""),""),""),"")</f>
        <v/>
      </c>
    </row>
    <row r="14">
      <c r="A14" s="7" t="inlineStr">
        <is>
          <t>At Risk</t>
        </is>
      </c>
      <c r="B14" s="7">
        <f>COUNTIF('Implementation Roadmap'!G4:G50,"At Risk")+COUNTIF('Implementation Roadmap'!G4:G50,"Delayed")</f>
        <v/>
      </c>
      <c r="C14" s="8">
        <f>IF(B11+B12+B13+B14=0,"",B14/(B11+B12+B13+B14))</f>
        <v/>
      </c>
      <c r="E14" s="7" t="inlineStr">
        <is>
          <t>Desire</t>
        </is>
      </c>
      <c r="F14" s="7">
        <f>COUNTIF('ADKAR Assessment'!H4:H50,"Desire")</f>
        <v/>
      </c>
      <c r="G14" s="7" t="inlineStr"/>
    </row>
    <row r="15">
      <c r="E15" s="7" t="inlineStr">
        <is>
          <t>Knowledge</t>
        </is>
      </c>
      <c r="F15" s="7">
        <f>COUNTIF('ADKAR Assessment'!H4:H50,"Knowledge")</f>
        <v/>
      </c>
      <c r="G15" s="7" t="inlineStr"/>
    </row>
    <row r="16">
      <c r="E16" s="7" t="inlineStr">
        <is>
          <t>Ability</t>
        </is>
      </c>
      <c r="F16" s="7">
        <f>COUNTIF('ADKAR Assessment'!H4:H50,"Ability")</f>
        <v/>
      </c>
      <c r="G16" s="7" t="inlineStr"/>
    </row>
    <row r="17">
      <c r="A17" s="5" t="inlineStr">
        <is>
          <t>RISK SUMMARY</t>
        </is>
      </c>
      <c r="E17" s="7" t="inlineStr">
        <is>
          <t>Reinforcement</t>
        </is>
      </c>
      <c r="F17" s="7">
        <f>COUNTIF('ADKAR Assessment'!H4:H50,"Reinforcement")</f>
        <v/>
      </c>
      <c r="G17" s="7" t="inlineStr"/>
    </row>
    <row r="18">
      <c r="A18" s="6" t="inlineStr">
        <is>
          <t>Level</t>
        </is>
      </c>
      <c r="B18" s="6" t="inlineStr">
        <is>
          <t>Count</t>
        </is>
      </c>
      <c r="C18" s="6" t="inlineStr">
        <is>
          <t>Action</t>
        </is>
      </c>
    </row>
    <row r="19">
      <c r="A19" s="7" t="inlineStr">
        <is>
          <t>High (15-25)</t>
        </is>
      </c>
      <c r="B19" s="7">
        <f>COUNTIF('Risk Register'!F4:F50,"&gt;=15")</f>
        <v/>
      </c>
      <c r="C19" s="7" t="inlineStr">
        <is>
          <t>Immediate</t>
        </is>
      </c>
      <c r="E19" s="5" t="inlineStr">
        <is>
          <t>RESISTANCE STATUS</t>
        </is>
      </c>
    </row>
    <row r="20">
      <c r="A20" s="7" t="inlineStr">
        <is>
          <t>Medium (7-14)</t>
        </is>
      </c>
      <c r="B20" s="7">
        <f>SUMPRODUCT(('Risk Register'!F4:F50&gt;=7)*('Risk Register'!F4:F50&lt;15))</f>
        <v/>
      </c>
      <c r="C20" s="7" t="inlineStr">
        <is>
          <t>Plan needed</t>
        </is>
      </c>
      <c r="E20" s="6" t="inlineStr">
        <is>
          <t>Status</t>
        </is>
      </c>
      <c r="F20" s="6" t="inlineStr">
        <is>
          <t>Count</t>
        </is>
      </c>
      <c r="G20" s="6" t="inlineStr">
        <is>
          <t>%</t>
        </is>
      </c>
    </row>
    <row r="21">
      <c r="A21" s="7" t="inlineStr">
        <is>
          <t>Low (1-6)</t>
        </is>
      </c>
      <c r="B21" s="7">
        <f>SUMPRODUCT(('Risk Register'!F4:F50&gt;=1)*('Risk Register'!F4:F50&lt;7))</f>
        <v/>
      </c>
      <c r="C21" s="7" t="inlineStr">
        <is>
          <t>Monitor</t>
        </is>
      </c>
      <c r="E21" s="7" t="inlineStr">
        <is>
          <t>Open/New</t>
        </is>
      </c>
      <c r="F21" s="7">
        <f>COUNTIF('Resistance Log'!K4:K50,"New")+COUNTIF('Resistance Log'!K4:K50,"Under Investigation")</f>
        <v/>
      </c>
      <c r="G21" s="7" t="n"/>
    </row>
    <row r="22">
      <c r="E22" s="7" t="inlineStr">
        <is>
          <t>In Progress</t>
        </is>
      </c>
      <c r="F22" s="7">
        <f>COUNTIF('Resistance Log'!K4:K50,"Mitigation In Progress")</f>
        <v/>
      </c>
      <c r="G22" s="7" t="n"/>
    </row>
    <row r="23">
      <c r="E23" s="7" t="inlineStr">
        <is>
          <t>Resolved</t>
        </is>
      </c>
      <c r="F23" s="7">
        <f>COUNTIF('Resistance Log'!K4:K50,"Resolved")</f>
        <v/>
      </c>
      <c r="G23" s="7" t="n"/>
    </row>
  </sheetData>
  <mergeCells count="7">
    <mergeCell ref="A1:G1"/>
    <mergeCell ref="E19:G19"/>
    <mergeCell ref="E11:G11"/>
    <mergeCell ref="A17:C17"/>
    <mergeCell ref="A9:C9"/>
    <mergeCell ref="E4:G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8" topLeftCell="I1" activePane="topRight" state="frozen"/>
      <selection pane="topRigh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2" customWidth="1" min="4" max="4"/>
    <col width="10" customWidth="1" min="5" max="5"/>
    <col width="10" customWidth="1" min="6" max="6"/>
    <col width="12" customWidth="1" min="7" max="7"/>
    <col width="28" customWidth="1" min="9" max="9"/>
  </cols>
  <sheetData>
    <row r="1">
      <c r="A1" s="9" t="inlineStr">
        <is>
          <t>Implementation Roadmap</t>
        </is>
      </c>
      <c r="I1" s="2" t="inlineStr">
        <is>
          <t>INSTRUCTIONS</t>
        </is>
      </c>
    </row>
    <row r="2">
      <c r="I2" s="4" t="inlineStr">
        <is>
          <t>Track OCM implementation</t>
        </is>
      </c>
    </row>
    <row r="3">
      <c r="A3" s="6" t="inlineStr">
        <is>
          <t>Phase</t>
        </is>
      </c>
      <c r="B3" s="6" t="inlineStr">
        <is>
          <t>Activity</t>
        </is>
      </c>
      <c r="C3" s="6" t="inlineStr">
        <is>
          <t>Description</t>
        </is>
      </c>
      <c r="D3" s="6" t="inlineStr">
        <is>
          <t>Owner</t>
        </is>
      </c>
      <c r="E3" s="6" t="inlineStr">
        <is>
          <t>Start</t>
        </is>
      </c>
      <c r="F3" s="6" t="inlineStr">
        <is>
          <t>End</t>
        </is>
      </c>
      <c r="G3" s="6" t="inlineStr">
        <is>
          <t>Status</t>
        </is>
      </c>
      <c r="I3" s="4" t="inlineStr">
        <is>
          <t>across 5 phases, 25 activities.</t>
        </is>
      </c>
    </row>
    <row r="4">
      <c r="A4" s="7" t="inlineStr">
        <is>
          <t>Phase 1: Initiation</t>
        </is>
      </c>
      <c r="B4" s="7" t="inlineStr">
        <is>
          <t>1.1 Define Change</t>
        </is>
      </c>
      <c r="C4" s="7" t="inlineStr">
        <is>
          <t>Document what is changing and why</t>
        </is>
      </c>
      <c r="D4" s="7" t="inlineStr"/>
      <c r="E4" s="7" t="inlineStr"/>
      <c r="F4" s="7" t="inlineStr"/>
      <c r="G4" s="7" t="inlineStr">
        <is>
          <t>Not Started</t>
        </is>
      </c>
      <c r="I4" s="4" t="inlineStr"/>
    </row>
    <row r="5">
      <c r="A5" s="7" t="inlineStr"/>
      <c r="B5" s="7" t="inlineStr">
        <is>
          <t>1.2 Identify Sponsor</t>
        </is>
      </c>
      <c r="C5" s="7" t="inlineStr">
        <is>
          <t>Secure executive sponsorship</t>
        </is>
      </c>
      <c r="D5" s="7" t="inlineStr"/>
      <c r="E5" s="7" t="inlineStr"/>
      <c r="F5" s="7" t="inlineStr"/>
      <c r="G5" s="7" t="inlineStr">
        <is>
          <t>Not Started</t>
        </is>
      </c>
      <c r="I5" s="4" t="inlineStr">
        <is>
          <t>HOW TO USE:</t>
        </is>
      </c>
    </row>
    <row r="6">
      <c r="A6" s="7" t="inlineStr"/>
      <c r="B6" s="7" t="inlineStr">
        <is>
          <t>1.3 Form OCM Team</t>
        </is>
      </c>
      <c r="C6" s="7" t="inlineStr">
        <is>
          <t>Assemble change management resources</t>
        </is>
      </c>
      <c r="D6" s="7" t="inlineStr"/>
      <c r="E6" s="7" t="inlineStr"/>
      <c r="F6" s="7" t="inlineStr"/>
      <c r="G6" s="7" t="inlineStr">
        <is>
          <t>Not Started</t>
        </is>
      </c>
      <c r="I6" s="4" t="inlineStr">
        <is>
          <t>1. Assign Owner</t>
        </is>
      </c>
    </row>
    <row r="7">
      <c r="A7" s="7" t="inlineStr"/>
      <c r="B7" s="7" t="inlineStr">
        <is>
          <t>1.4 Stakeholder ID</t>
        </is>
      </c>
      <c r="C7" s="7" t="inlineStr">
        <is>
          <t>Identify key stakeholder groups</t>
        </is>
      </c>
      <c r="D7" s="7" t="inlineStr"/>
      <c r="E7" s="7" t="inlineStr"/>
      <c r="F7" s="7" t="inlineStr"/>
      <c r="G7" s="7" t="inlineStr">
        <is>
          <t>Not Started</t>
        </is>
      </c>
      <c r="I7" s="4" t="inlineStr">
        <is>
          <t>2. Set Start/End dates</t>
        </is>
      </c>
    </row>
    <row r="8">
      <c r="A8" s="7" t="inlineStr"/>
      <c r="B8" s="7" t="inlineStr">
        <is>
          <t>1.5 Business Case</t>
        </is>
      </c>
      <c r="C8" s="7" t="inlineStr">
        <is>
          <t>Document benefits and ROI</t>
        </is>
      </c>
      <c r="D8" s="7" t="inlineStr"/>
      <c r="E8" s="7" t="inlineStr"/>
      <c r="F8" s="7" t="inlineStr"/>
      <c r="G8" s="7" t="inlineStr">
        <is>
          <t>Not Started</t>
        </is>
      </c>
      <c r="I8" s="4" t="inlineStr">
        <is>
          <t>3. Update Status (dropdown)</t>
        </is>
      </c>
    </row>
    <row r="9">
      <c r="A9" s="7" t="inlineStr">
        <is>
          <t>Phase 2: Assessment</t>
        </is>
      </c>
      <c r="B9" s="7" t="inlineStr">
        <is>
          <t>2.1 Readiness Assessment</t>
        </is>
      </c>
      <c r="C9" s="7" t="inlineStr">
        <is>
          <t>Evaluate organizational readiness</t>
        </is>
      </c>
      <c r="D9" s="7" t="inlineStr"/>
      <c r="E9" s="7" t="inlineStr"/>
      <c r="F9" s="7" t="inlineStr"/>
      <c r="G9" s="7" t="inlineStr">
        <is>
          <t>Not Started</t>
        </is>
      </c>
      <c r="I9" s="4" t="inlineStr"/>
    </row>
    <row r="10">
      <c r="A10" s="7" t="inlineStr"/>
      <c r="B10" s="7" t="inlineStr">
        <is>
          <t>2.2 Stakeholder Analysis</t>
        </is>
      </c>
      <c r="C10" s="7" t="inlineStr">
        <is>
          <t>Complete power/interest mapping</t>
        </is>
      </c>
      <c r="D10" s="7" t="inlineStr"/>
      <c r="E10" s="7" t="inlineStr"/>
      <c r="F10" s="7" t="inlineStr"/>
      <c r="G10" s="7" t="inlineStr">
        <is>
          <t>Not Started</t>
        </is>
      </c>
      <c r="I10" s="4" t="inlineStr">
        <is>
          <t>STATUS OPTIONS:</t>
        </is>
      </c>
    </row>
    <row r="11">
      <c r="A11" s="7" t="inlineStr"/>
      <c r="B11" s="7" t="inlineStr">
        <is>
          <t>2.3 Impact Assessment</t>
        </is>
      </c>
      <c r="C11" s="7" t="inlineStr">
        <is>
          <t>Analyze change impacts</t>
        </is>
      </c>
      <c r="D11" s="7" t="inlineStr"/>
      <c r="E11" s="7" t="inlineStr"/>
      <c r="F11" s="7" t="inlineStr"/>
      <c r="G11" s="7" t="inlineStr">
        <is>
          <t>Not Started</t>
        </is>
      </c>
      <c r="I11" s="4" t="inlineStr">
        <is>
          <t>• Not Started</t>
        </is>
      </c>
    </row>
    <row r="12">
      <c r="A12" s="7" t="inlineStr"/>
      <c r="B12" s="7" t="inlineStr">
        <is>
          <t>2.4 Risk Assessment</t>
        </is>
      </c>
      <c r="C12" s="7" t="inlineStr">
        <is>
          <t>Identify OCM-specific risks</t>
        </is>
      </c>
      <c r="D12" s="7" t="inlineStr"/>
      <c r="E12" s="7" t="inlineStr"/>
      <c r="F12" s="7" t="inlineStr"/>
      <c r="G12" s="7" t="inlineStr">
        <is>
          <t>Not Started</t>
        </is>
      </c>
      <c r="I12" s="4" t="inlineStr">
        <is>
          <t>• In Progress</t>
        </is>
      </c>
    </row>
    <row r="13">
      <c r="A13" s="7" t="inlineStr"/>
      <c r="B13" s="7" t="inlineStr">
        <is>
          <t>2.5 ADKAR Baseline</t>
        </is>
      </c>
      <c r="C13" s="7" t="inlineStr">
        <is>
          <t>Establish baseline scores</t>
        </is>
      </c>
      <c r="D13" s="7" t="inlineStr"/>
      <c r="E13" s="7" t="inlineStr"/>
      <c r="F13" s="7" t="inlineStr"/>
      <c r="G13" s="7" t="inlineStr">
        <is>
          <t>Not Started</t>
        </is>
      </c>
      <c r="I13" s="4" t="inlineStr">
        <is>
          <t>• Complete</t>
        </is>
      </c>
    </row>
    <row r="14">
      <c r="A14" s="7" t="inlineStr">
        <is>
          <t>Phase 3: Planning</t>
        </is>
      </c>
      <c r="B14" s="7" t="inlineStr">
        <is>
          <t>3.1 OCM Strategy</t>
        </is>
      </c>
      <c r="C14" s="7" t="inlineStr">
        <is>
          <t>Define overall approach</t>
        </is>
      </c>
      <c r="D14" s="7" t="inlineStr"/>
      <c r="E14" s="7" t="inlineStr"/>
      <c r="F14" s="7" t="inlineStr"/>
      <c r="G14" s="7" t="inlineStr">
        <is>
          <t>Not Started</t>
        </is>
      </c>
      <c r="I14" s="4" t="inlineStr">
        <is>
          <t>• Delayed</t>
        </is>
      </c>
    </row>
    <row r="15">
      <c r="A15" s="7" t="inlineStr"/>
      <c r="B15" s="7" t="inlineStr">
        <is>
          <t>3.2 Communication Plan</t>
        </is>
      </c>
      <c r="C15" s="7" t="inlineStr">
        <is>
          <t>Develop messaging</t>
        </is>
      </c>
      <c r="D15" s="7" t="inlineStr"/>
      <c r="E15" s="7" t="inlineStr"/>
      <c r="F15" s="7" t="inlineStr"/>
      <c r="G15" s="7" t="inlineStr">
        <is>
          <t>Not Started</t>
        </is>
      </c>
      <c r="I15" s="4" t="inlineStr">
        <is>
          <t>• At Risk</t>
        </is>
      </c>
    </row>
    <row r="16">
      <c r="A16" s="7" t="inlineStr"/>
      <c r="B16" s="7" t="inlineStr">
        <is>
          <t>3.3 Training Plan</t>
        </is>
      </c>
      <c r="C16" s="7" t="inlineStr">
        <is>
          <t>Design curriculum</t>
        </is>
      </c>
      <c r="D16" s="7" t="inlineStr"/>
      <c r="E16" s="7" t="inlineStr"/>
      <c r="F16" s="7" t="inlineStr"/>
      <c r="G16" s="7" t="inlineStr">
        <is>
          <t>Not Started</t>
        </is>
      </c>
    </row>
    <row r="17">
      <c r="A17" s="7" t="inlineStr"/>
      <c r="B17" s="7" t="inlineStr">
        <is>
          <t>3.4 Sponsorship Plan</t>
        </is>
      </c>
      <c r="C17" s="7" t="inlineStr">
        <is>
          <t>Plan sponsor activities</t>
        </is>
      </c>
      <c r="D17" s="7" t="inlineStr"/>
      <c r="E17" s="7" t="inlineStr"/>
      <c r="F17" s="7" t="inlineStr"/>
      <c r="G17" s="7" t="inlineStr">
        <is>
          <t>Not Started</t>
        </is>
      </c>
    </row>
    <row r="18">
      <c r="A18" s="7" t="inlineStr"/>
      <c r="B18" s="7" t="inlineStr">
        <is>
          <t>3.5 Resistance Plan</t>
        </is>
      </c>
      <c r="C18" s="7" t="inlineStr">
        <is>
          <t>Mitigation strategies</t>
        </is>
      </c>
      <c r="D18" s="7" t="inlineStr"/>
      <c r="E18" s="7" t="inlineStr"/>
      <c r="F18" s="7" t="inlineStr"/>
      <c r="G18" s="7" t="inlineStr">
        <is>
          <t>Not Started</t>
        </is>
      </c>
    </row>
    <row r="19">
      <c r="A19" s="7" t="inlineStr">
        <is>
          <t>Phase 4: Execution</t>
        </is>
      </c>
      <c r="B19" s="7" t="inlineStr">
        <is>
          <t>4.1 Launch Comms</t>
        </is>
      </c>
      <c r="C19" s="7" t="inlineStr">
        <is>
          <t>Begin awareness campaign</t>
        </is>
      </c>
      <c r="D19" s="7" t="inlineStr"/>
      <c r="E19" s="7" t="inlineStr"/>
      <c r="F19" s="7" t="inlineStr"/>
      <c r="G19" s="7" t="inlineStr">
        <is>
          <t>Not Started</t>
        </is>
      </c>
    </row>
    <row r="20">
      <c r="A20" s="7" t="inlineStr"/>
      <c r="B20" s="7" t="inlineStr">
        <is>
          <t>4.2 Sponsor Activities</t>
        </is>
      </c>
      <c r="C20" s="7" t="inlineStr">
        <is>
          <t>Execute sponsor plan</t>
        </is>
      </c>
      <c r="D20" s="7" t="inlineStr"/>
      <c r="E20" s="7" t="inlineStr"/>
      <c r="F20" s="7" t="inlineStr"/>
      <c r="G20" s="7" t="inlineStr">
        <is>
          <t>Not Started</t>
        </is>
      </c>
    </row>
    <row r="21">
      <c r="A21" s="7" t="inlineStr"/>
      <c r="B21" s="7" t="inlineStr">
        <is>
          <t>4.3 Deliver Training</t>
        </is>
      </c>
      <c r="C21" s="7" t="inlineStr">
        <is>
          <t>Conduct sessions</t>
        </is>
      </c>
      <c r="D21" s="7" t="inlineStr"/>
      <c r="E21" s="7" t="inlineStr"/>
      <c r="F21" s="7" t="inlineStr"/>
      <c r="G21" s="7" t="inlineStr">
        <is>
          <t>Not Started</t>
        </is>
      </c>
    </row>
    <row r="22">
      <c r="A22" s="7" t="inlineStr"/>
      <c r="B22" s="7" t="inlineStr">
        <is>
          <t>4.4 Manage Resistance</t>
        </is>
      </c>
      <c r="C22" s="7" t="inlineStr">
        <is>
          <t>Address issues</t>
        </is>
      </c>
      <c r="D22" s="7" t="inlineStr"/>
      <c r="E22" s="7" t="inlineStr"/>
      <c r="F22" s="7" t="inlineStr"/>
      <c r="G22" s="7" t="inlineStr">
        <is>
          <t>Not Started</t>
        </is>
      </c>
    </row>
    <row r="23">
      <c r="A23" s="7" t="inlineStr"/>
      <c r="B23" s="7" t="inlineStr">
        <is>
          <t>4.5 Monitor Adoption</t>
        </is>
      </c>
      <c r="C23" s="7" t="inlineStr">
        <is>
          <t>Track KPIs</t>
        </is>
      </c>
      <c r="D23" s="7" t="inlineStr"/>
      <c r="E23" s="7" t="inlineStr"/>
      <c r="F23" s="7" t="inlineStr"/>
      <c r="G23" s="7" t="inlineStr">
        <is>
          <t>Not Started</t>
        </is>
      </c>
    </row>
    <row r="24">
      <c r="A24" s="7" t="inlineStr">
        <is>
          <t>Phase 5: Sustainment</t>
        </is>
      </c>
      <c r="B24" s="7" t="inlineStr">
        <is>
          <t>5.1 Reinforcement</t>
        </is>
      </c>
      <c r="C24" s="7" t="inlineStr">
        <is>
          <t>Recognition and rewards</t>
        </is>
      </c>
      <c r="D24" s="7" t="inlineStr"/>
      <c r="E24" s="7" t="inlineStr"/>
      <c r="F24" s="7" t="inlineStr"/>
      <c r="G24" s="7" t="inlineStr">
        <is>
          <t>Not Started</t>
        </is>
      </c>
    </row>
    <row r="25">
      <c r="A25" s="7" t="inlineStr"/>
      <c r="B25" s="7" t="inlineStr">
        <is>
          <t>5.2 Embed in Systems</t>
        </is>
      </c>
      <c r="C25" s="7" t="inlineStr">
        <is>
          <t>Update processes</t>
        </is>
      </c>
      <c r="D25" s="7" t="inlineStr"/>
      <c r="E25" s="7" t="inlineStr"/>
      <c r="F25" s="7" t="inlineStr"/>
      <c r="G25" s="7" t="inlineStr">
        <is>
          <t>Not Started</t>
        </is>
      </c>
    </row>
    <row r="26">
      <c r="A26" s="7" t="inlineStr"/>
      <c r="B26" s="7" t="inlineStr">
        <is>
          <t>5.3 Knowledge Transfer</t>
        </is>
      </c>
      <c r="C26" s="7" t="inlineStr">
        <is>
          <t>Transition to BAU</t>
        </is>
      </c>
      <c r="D26" s="7" t="inlineStr"/>
      <c r="E26" s="7" t="inlineStr"/>
      <c r="F26" s="7" t="inlineStr"/>
      <c r="G26" s="7" t="inlineStr">
        <is>
          <t>Not Started</t>
        </is>
      </c>
    </row>
    <row r="27">
      <c r="A27" s="7" t="inlineStr"/>
      <c r="B27" s="7" t="inlineStr">
        <is>
          <t>5.4 Lessons Learned</t>
        </is>
      </c>
      <c r="C27" s="7" t="inlineStr">
        <is>
          <t>Document learnings</t>
        </is>
      </c>
      <c r="D27" s="7" t="inlineStr"/>
      <c r="E27" s="7" t="inlineStr"/>
      <c r="F27" s="7" t="inlineStr"/>
      <c r="G27" s="7" t="inlineStr">
        <is>
          <t>Not Started</t>
        </is>
      </c>
    </row>
    <row r="28">
      <c r="A28" s="7" t="inlineStr"/>
      <c r="B28" s="7" t="inlineStr">
        <is>
          <t>5.5 Close OCM</t>
        </is>
      </c>
      <c r="C28" s="7" t="inlineStr">
        <is>
          <t>Formal closure</t>
        </is>
      </c>
      <c r="D28" s="7" t="inlineStr"/>
      <c r="E28" s="7" t="inlineStr"/>
      <c r="F28" s="7" t="inlineStr"/>
      <c r="G28" s="7" t="inlineStr">
        <is>
          <t>Not Started</t>
        </is>
      </c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</sheetData>
  <dataValidations count="1">
    <dataValidation sqref="G4:G50" showDropDown="0" showInputMessage="0" showErrorMessage="0" allowBlank="0" type="list">
      <formula1>"Not Started,In Progress,Complete,Delayed,At Risk"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9" topLeftCell="J1" activePane="topRight" state="frozen"/>
      <selection pane="top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28" customWidth="1" min="10" max="10"/>
  </cols>
  <sheetData>
    <row r="1">
      <c r="A1" s="9" t="inlineStr">
        <is>
          <t>ADKAR Assessment</t>
        </is>
      </c>
      <c r="J1" s="2" t="inlineStr">
        <is>
          <t>INSTRUCTIONS</t>
        </is>
      </c>
    </row>
    <row r="2">
      <c r="J2" s="4" t="inlineStr">
        <is>
          <t>Rate each ADKAR element 1-5</t>
        </is>
      </c>
    </row>
    <row r="3">
      <c r="A3" s="6" t="inlineStr">
        <is>
          <t>Stakeholder/Group</t>
        </is>
      </c>
      <c r="B3" s="6" t="inlineStr">
        <is>
          <t>A</t>
        </is>
      </c>
      <c r="C3" s="6" t="inlineStr">
        <is>
          <t>D</t>
        </is>
      </c>
      <c r="D3" s="6" t="inlineStr">
        <is>
          <t>K</t>
        </is>
      </c>
      <c r="E3" s="6" t="inlineStr">
        <is>
          <t>A</t>
        </is>
      </c>
      <c r="F3" s="6" t="inlineStr">
        <is>
          <t>R</t>
        </is>
      </c>
      <c r="G3" s="6" t="inlineStr">
        <is>
          <t>Total</t>
        </is>
      </c>
      <c r="H3" s="6" t="inlineStr">
        <is>
          <t>Priority Gap</t>
        </is>
      </c>
      <c r="J3" s="4" t="inlineStr"/>
    </row>
    <row r="4">
      <c r="A4" s="7" t="inlineStr">
        <is>
          <t>Executive Leadership</t>
        </is>
      </c>
      <c r="B4" s="7" t="n"/>
      <c r="C4" s="7" t="n"/>
      <c r="D4" s="7" t="n"/>
      <c r="E4" s="7" t="n"/>
      <c r="F4" s="7" t="n"/>
      <c r="G4" s="7">
        <f>IF(COUNTA(B4:F4)=5,SUM(B4:F4),"")</f>
        <v/>
      </c>
      <c r="H4" s="7">
        <f>IF(COUNTA(B4:F4)&lt;5,"",INDEX({"Awareness","Desire","Knowledge","Ability","Reinforcement"},MATCH(MIN(B4:F4),B4:F4,0)))</f>
        <v/>
      </c>
      <c r="J4" s="4" t="inlineStr">
        <is>
          <t>A = Awareness (why)</t>
        </is>
      </c>
    </row>
    <row r="5">
      <c r="A5" s="7" t="inlineStr">
        <is>
          <t>Middle Management</t>
        </is>
      </c>
      <c r="B5" s="7" t="n"/>
      <c r="C5" s="7" t="n"/>
      <c r="D5" s="7" t="n"/>
      <c r="E5" s="7" t="n"/>
      <c r="F5" s="7" t="n"/>
      <c r="G5" s="7">
        <f>IF(COUNTA(B5:F5)=5,SUM(B5:F5),"")</f>
        <v/>
      </c>
      <c r="H5" s="7">
        <f>IF(COUNTA(B5:F5)&lt;5,"",INDEX({"Awareness","Desire","Knowledge","Ability","Reinforcement"},MATCH(MIN(B5:F5),B5:F5,0)))</f>
        <v/>
      </c>
      <c r="J5" s="4" t="inlineStr">
        <is>
          <t>D = Desire (want to)</t>
        </is>
      </c>
    </row>
    <row r="6">
      <c r="A6" s="7" t="inlineStr">
        <is>
          <t>Front-line Supervisors</t>
        </is>
      </c>
      <c r="B6" s="7" t="n"/>
      <c r="C6" s="7" t="n"/>
      <c r="D6" s="7" t="n"/>
      <c r="E6" s="7" t="n"/>
      <c r="F6" s="7" t="n"/>
      <c r="G6" s="7">
        <f>IF(COUNTA(B6:F6)=5,SUM(B6:F6),"")</f>
        <v/>
      </c>
      <c r="H6" s="7">
        <f>IF(COUNTA(B6:F6)&lt;5,"",INDEX({"Awareness","Desire","Knowledge","Ability","Reinforcement"},MATCH(MIN(B6:F6),B6:F6,0)))</f>
        <v/>
      </c>
      <c r="J6" s="4" t="inlineStr">
        <is>
          <t>K = Knowledge (how)</t>
        </is>
      </c>
    </row>
    <row r="7">
      <c r="A7" s="7" t="inlineStr">
        <is>
          <t>End Users - Group A</t>
        </is>
      </c>
      <c r="B7" s="7" t="n"/>
      <c r="C7" s="7" t="n"/>
      <c r="D7" s="7" t="n"/>
      <c r="E7" s="7" t="n"/>
      <c r="F7" s="7" t="n"/>
      <c r="G7" s="7">
        <f>IF(COUNTA(B7:F7)=5,SUM(B7:F7),"")</f>
        <v/>
      </c>
      <c r="H7" s="7">
        <f>IF(COUNTA(B7:F7)&lt;5,"",INDEX({"Awareness","Desire","Knowledge","Ability","Reinforcement"},MATCH(MIN(B7:F7),B7:F7,0)))</f>
        <v/>
      </c>
      <c r="J7" s="4" t="inlineStr">
        <is>
          <t>A = Ability (can do)</t>
        </is>
      </c>
    </row>
    <row r="8">
      <c r="A8" s="7" t="inlineStr">
        <is>
          <t>End Users - Group B</t>
        </is>
      </c>
      <c r="B8" s="7" t="n"/>
      <c r="C8" s="7" t="n"/>
      <c r="D8" s="7" t="n"/>
      <c r="E8" s="7" t="n"/>
      <c r="F8" s="7" t="n"/>
      <c r="G8" s="7">
        <f>IF(COUNTA(B8:F8)=5,SUM(B8:F8),"")</f>
        <v/>
      </c>
      <c r="H8" s="7">
        <f>IF(COUNTA(B8:F8)&lt;5,"",INDEX({"Awareness","Desire","Knowledge","Ability","Reinforcement"},MATCH(MIN(B8:F8),B8:F8,0)))</f>
        <v/>
      </c>
      <c r="J8" s="4" t="inlineStr">
        <is>
          <t>R = Reinforcement (sustain)</t>
        </is>
      </c>
    </row>
    <row r="9">
      <c r="A9" s="7" t="inlineStr">
        <is>
          <t>IT Support</t>
        </is>
      </c>
      <c r="B9" s="7" t="n"/>
      <c r="C9" s="7" t="n"/>
      <c r="D9" s="7" t="n"/>
      <c r="E9" s="7" t="n"/>
      <c r="F9" s="7" t="n"/>
      <c r="G9" s="7">
        <f>IF(COUNTA(B9:F9)=5,SUM(B9:F9),"")</f>
        <v/>
      </c>
      <c r="H9" s="7">
        <f>IF(COUNTA(B9:F9)&lt;5,"",INDEX({"Awareness","Desire","Knowledge","Ability","Reinforcement"},MATCH(MIN(B9:F9),B9:F9,0)))</f>
        <v/>
      </c>
      <c r="J9" s="4" t="inlineStr"/>
    </row>
    <row r="10">
      <c r="A10" s="7" t="inlineStr">
        <is>
          <t>HR/Training</t>
        </is>
      </c>
      <c r="B10" s="7" t="n"/>
      <c r="C10" s="7" t="n"/>
      <c r="D10" s="7" t="n"/>
      <c r="E10" s="7" t="n"/>
      <c r="F10" s="7" t="n"/>
      <c r="G10" s="7">
        <f>IF(COUNTA(B10:F10)=5,SUM(B10:F10),"")</f>
        <v/>
      </c>
      <c r="H10" s="7">
        <f>IF(COUNTA(B10:F10)&lt;5,"",INDEX({"Awareness","Desire","Knowledge","Ability","Reinforcement"},MATCH(MIN(B10:F10),B10:F10,0)))</f>
        <v/>
      </c>
      <c r="J10" s="4" t="inlineStr">
        <is>
          <t>RATING SCALE:</t>
        </is>
      </c>
    </row>
    <row r="11">
      <c r="A11" s="7" t="inlineStr">
        <is>
          <t>Partners</t>
        </is>
      </c>
      <c r="B11" s="7" t="n"/>
      <c r="C11" s="7" t="n"/>
      <c r="D11" s="7" t="n"/>
      <c r="E11" s="7" t="n"/>
      <c r="F11" s="7" t="n"/>
      <c r="G11" s="7">
        <f>IF(COUNTA(B11:F11)=5,SUM(B11:F11),"")</f>
        <v/>
      </c>
      <c r="H11" s="7">
        <f>IF(COUNTA(B11:F11)&lt;5,"",INDEX({"Awareness","Desire","Knowledge","Ability","Reinforcement"},MATCH(MIN(B11:F11),B11:F11,0)))</f>
        <v/>
      </c>
      <c r="J11" s="4" t="inlineStr">
        <is>
          <t>1 = Very Low</t>
        </is>
      </c>
    </row>
    <row r="12">
      <c r="A12" s="7" t="n"/>
      <c r="B12" s="7" t="n"/>
      <c r="C12" s="7" t="n"/>
      <c r="D12" s="7" t="n"/>
      <c r="E12" s="7" t="n"/>
      <c r="F12" s="7" t="n"/>
      <c r="G12" s="7">
        <f>IF(COUNTA(B12:F12)=5,SUM(B12:F12),"")</f>
        <v/>
      </c>
      <c r="H12" s="7">
        <f>IF(COUNTA(B12:F12)&lt;5,"",INDEX({"Awareness","Desire","Knowledge","Ability","Reinforcement"},MATCH(MIN(B12:F12),B12:F12,0)))</f>
        <v/>
      </c>
      <c r="J12" s="4" t="inlineStr">
        <is>
          <t>2 = Low</t>
        </is>
      </c>
    </row>
    <row r="13">
      <c r="A13" s="7" t="n"/>
      <c r="B13" s="7" t="n"/>
      <c r="C13" s="7" t="n"/>
      <c r="D13" s="7" t="n"/>
      <c r="E13" s="7" t="n"/>
      <c r="F13" s="7" t="n"/>
      <c r="G13" s="7">
        <f>IF(COUNTA(B13:F13)=5,SUM(B13:F13),"")</f>
        <v/>
      </c>
      <c r="H13" s="7">
        <f>IF(COUNTA(B13:F13)&lt;5,"",INDEX({"Awareness","Desire","Knowledge","Ability","Reinforcement"},MATCH(MIN(B13:F13),B13:F13,0)))</f>
        <v/>
      </c>
      <c r="J13" s="4" t="inlineStr">
        <is>
          <t>3 = Moderate</t>
        </is>
      </c>
    </row>
    <row r="14">
      <c r="A14" s="7" t="n"/>
      <c r="B14" s="7" t="n"/>
      <c r="C14" s="7" t="n"/>
      <c r="D14" s="7" t="n"/>
      <c r="E14" s="7" t="n"/>
      <c r="F14" s="7" t="n"/>
      <c r="G14" s="7">
        <f>IF(COUNTA(B14:F14)=5,SUM(B14:F14),"")</f>
        <v/>
      </c>
      <c r="H14" s="7">
        <f>IF(COUNTA(B14:F14)&lt;5,"",INDEX({"Awareness","Desire","Knowledge","Ability","Reinforcement"},MATCH(MIN(B14:F14),B14:F14,0)))</f>
        <v/>
      </c>
      <c r="J14" s="4" t="inlineStr">
        <is>
          <t>4 = High</t>
        </is>
      </c>
    </row>
    <row r="15">
      <c r="A15" s="7" t="n"/>
      <c r="B15" s="7" t="n"/>
      <c r="C15" s="7" t="n"/>
      <c r="D15" s="7" t="n"/>
      <c r="E15" s="7" t="n"/>
      <c r="F15" s="7" t="n"/>
      <c r="G15" s="7">
        <f>IF(COUNTA(B15:F15)=5,SUM(B15:F15),"")</f>
        <v/>
      </c>
      <c r="H15" s="7">
        <f>IF(COUNTA(B15:F15)&lt;5,"",INDEX({"Awareness","Desire","Knowledge","Ability","Reinforcement"},MATCH(MIN(B15:F15),B15:F15,0)))</f>
        <v/>
      </c>
      <c r="J15" s="4" t="inlineStr">
        <is>
          <t>5 = Very High</t>
        </is>
      </c>
    </row>
    <row r="16">
      <c r="A16" s="7" t="n"/>
      <c r="B16" s="7" t="n"/>
      <c r="C16" s="7" t="n"/>
      <c r="D16" s="7" t="n"/>
      <c r="E16" s="7" t="n"/>
      <c r="F16" s="7" t="n"/>
      <c r="G16" s="7">
        <f>IF(COUNTA(B16:F16)=5,SUM(B16:F16),"")</f>
        <v/>
      </c>
      <c r="H16" s="7">
        <f>IF(COUNTA(B16:F16)&lt;5,"",INDEX({"Awareness","Desire","Knowledge","Ability","Reinforcement"},MATCH(MIN(B16:F16),B16:F16,0)))</f>
        <v/>
      </c>
      <c r="J16" s="4" t="inlineStr"/>
    </row>
    <row r="17">
      <c r="A17" s="7" t="n"/>
      <c r="B17" s="7" t="n"/>
      <c r="C17" s="7" t="n"/>
      <c r="D17" s="7" t="n"/>
      <c r="E17" s="7" t="n"/>
      <c r="F17" s="7" t="n"/>
      <c r="G17" s="7">
        <f>IF(COUNTA(B17:F17)=5,SUM(B17:F17),"")</f>
        <v/>
      </c>
      <c r="H17" s="7">
        <f>IF(COUNTA(B17:F17)&lt;5,"",INDEX({"Awareness","Desire","Knowledge","Ability","Reinforcement"},MATCH(MIN(B17:F17),B17:F17,0)))</f>
        <v/>
      </c>
      <c r="J17" s="4" t="inlineStr">
        <is>
          <t>Priority Gap = lowest score</t>
        </is>
      </c>
    </row>
    <row r="18">
      <c r="A18" s="7" t="n"/>
      <c r="B18" s="7" t="n"/>
      <c r="C18" s="7" t="n"/>
      <c r="D18" s="7" t="n"/>
      <c r="E18" s="7" t="n"/>
      <c r="F18" s="7" t="n"/>
      <c r="G18" s="7">
        <f>IF(COUNTA(B18:F18)=5,SUM(B18:F18),"")</f>
        <v/>
      </c>
      <c r="H18" s="7">
        <f>IF(COUNTA(B18:F18)&lt;5,"",INDEX({"Awareness","Desire","Knowledge","Ability","Reinforcement"},MATCH(MIN(B18:F18),B18:F18,0)))</f>
        <v/>
      </c>
      <c r="J18" s="4" t="inlineStr">
        <is>
          <t>Focus interventions there.</t>
        </is>
      </c>
    </row>
    <row r="19">
      <c r="A19" s="7" t="n"/>
      <c r="B19" s="7" t="n"/>
      <c r="C19" s="7" t="n"/>
      <c r="D19" s="7" t="n"/>
      <c r="E19" s="7" t="n"/>
      <c r="F19" s="7" t="n"/>
      <c r="G19" s="7">
        <f>IF(COUNTA(B19:F19)=5,SUM(B19:F19),"")</f>
        <v/>
      </c>
      <c r="H19" s="7">
        <f>IF(COUNTA(B19:F19)&lt;5,"",INDEX({"Awareness","Desire","Knowledge","Ability","Reinforcement"},MATCH(MIN(B19:F19),B19:F19,0)))</f>
        <v/>
      </c>
    </row>
    <row r="20">
      <c r="A20" s="7" t="n"/>
      <c r="B20" s="7" t="n"/>
      <c r="C20" s="7" t="n"/>
      <c r="D20" s="7" t="n"/>
      <c r="E20" s="7" t="n"/>
      <c r="F20" s="7" t="n"/>
      <c r="G20" s="7">
        <f>IF(COUNTA(B20:F20)=5,SUM(B20:F20),"")</f>
        <v/>
      </c>
      <c r="H20" s="7">
        <f>IF(COUNTA(B20:F20)&lt;5,"",INDEX({"Awareness","Desire","Knowledge","Ability","Reinforcement"},MATCH(MIN(B20:F20),B20:F20,0)))</f>
        <v/>
      </c>
    </row>
    <row r="21">
      <c r="A21" s="7" t="n"/>
      <c r="B21" s="7" t="n"/>
      <c r="C21" s="7" t="n"/>
      <c r="D21" s="7" t="n"/>
      <c r="E21" s="7" t="n"/>
      <c r="F21" s="7" t="n"/>
      <c r="G21" s="7">
        <f>IF(COUNTA(B21:F21)=5,SUM(B21:F21),"")</f>
        <v/>
      </c>
      <c r="H21" s="7">
        <f>IF(COUNTA(B21:F21)&lt;5,"",INDEX({"Awareness","Desire","Knowledge","Ability","Reinforcement"},MATCH(MIN(B21:F21),B21:F21,0)))</f>
        <v/>
      </c>
    </row>
    <row r="22">
      <c r="A22" s="7" t="n"/>
      <c r="B22" s="7" t="n"/>
      <c r="C22" s="7" t="n"/>
      <c r="D22" s="7" t="n"/>
      <c r="E22" s="7" t="n"/>
      <c r="F22" s="7" t="n"/>
      <c r="G22" s="7">
        <f>IF(COUNTA(B22:F22)=5,SUM(B22:F22),"")</f>
        <v/>
      </c>
      <c r="H22" s="7">
        <f>IF(COUNTA(B22:F22)&lt;5,"",INDEX({"Awareness","Desire","Knowledge","Ability","Reinforcement"},MATCH(MIN(B22:F22),B22:F22,0)))</f>
        <v/>
      </c>
    </row>
    <row r="23">
      <c r="A23" s="7" t="n"/>
      <c r="B23" s="7" t="n"/>
      <c r="C23" s="7" t="n"/>
      <c r="D23" s="7" t="n"/>
      <c r="E23" s="7" t="n"/>
      <c r="F23" s="7" t="n"/>
      <c r="G23" s="7">
        <f>IF(COUNTA(B23:F23)=5,SUM(B23:F23),"")</f>
        <v/>
      </c>
      <c r="H23" s="7">
        <f>IF(COUNTA(B23:F23)&lt;5,"",INDEX({"Awareness","Desire","Knowledge","Ability","Reinforcement"},MATCH(MIN(B23:F23),B23:F23,0)))</f>
        <v/>
      </c>
    </row>
    <row r="24">
      <c r="A24" s="7" t="n"/>
      <c r="B24" s="7" t="n"/>
      <c r="C24" s="7" t="n"/>
      <c r="D24" s="7" t="n"/>
      <c r="E24" s="7" t="n"/>
      <c r="F24" s="7" t="n"/>
      <c r="G24" s="7">
        <f>IF(COUNTA(B24:F24)=5,SUM(B24:F24),"")</f>
        <v/>
      </c>
      <c r="H24" s="7">
        <f>IF(COUNTA(B24:F24)&lt;5,"",INDEX({"Awareness","Desire","Knowledge","Ability","Reinforcement"},MATCH(MIN(B24:F24),B24:F24,0)))</f>
        <v/>
      </c>
    </row>
    <row r="25">
      <c r="A25" s="7" t="n"/>
      <c r="B25" s="7" t="n"/>
      <c r="C25" s="7" t="n"/>
      <c r="D25" s="7" t="n"/>
      <c r="E25" s="7" t="n"/>
      <c r="F25" s="7" t="n"/>
      <c r="G25" s="7">
        <f>IF(COUNTA(B25:F25)=5,SUM(B25:F25),"")</f>
        <v/>
      </c>
      <c r="H25" s="7">
        <f>IF(COUNTA(B25:F25)&lt;5,"",INDEX({"Awareness","Desire","Knowledge","Ability","Reinforcement"},MATCH(MIN(B25:F25),B25:F25,0)))</f>
        <v/>
      </c>
    </row>
    <row r="26">
      <c r="A26" s="7" t="n"/>
      <c r="B26" s="7" t="n"/>
      <c r="C26" s="7" t="n"/>
      <c r="D26" s="7" t="n"/>
      <c r="E26" s="7" t="n"/>
      <c r="F26" s="7" t="n"/>
      <c r="G26" s="7">
        <f>IF(COUNTA(B26:F26)=5,SUM(B26:F26),"")</f>
        <v/>
      </c>
      <c r="H26" s="7">
        <f>IF(COUNTA(B26:F26)&lt;5,"",INDEX({"Awareness","Desire","Knowledge","Ability","Reinforcement"},MATCH(MIN(B26:F26),B26:F26,0)))</f>
        <v/>
      </c>
    </row>
    <row r="27">
      <c r="A27" s="7" t="n"/>
      <c r="B27" s="7" t="n"/>
      <c r="C27" s="7" t="n"/>
      <c r="D27" s="7" t="n"/>
      <c r="E27" s="7" t="n"/>
      <c r="F27" s="7" t="n"/>
      <c r="G27" s="7">
        <f>IF(COUNTA(B27:F27)=5,SUM(B27:F27),"")</f>
        <v/>
      </c>
      <c r="H27" s="7">
        <f>IF(COUNTA(B27:F27)&lt;5,"",INDEX({"Awareness","Desire","Knowledge","Ability","Reinforcement"},MATCH(MIN(B27:F27),B27:F27,0)))</f>
        <v/>
      </c>
    </row>
    <row r="28">
      <c r="A28" s="7" t="n"/>
      <c r="B28" s="7" t="n"/>
      <c r="C28" s="7" t="n"/>
      <c r="D28" s="7" t="n"/>
      <c r="E28" s="7" t="n"/>
      <c r="F28" s="7" t="n"/>
      <c r="G28" s="7">
        <f>IF(COUNTA(B28:F28)=5,SUM(B28:F28),"")</f>
        <v/>
      </c>
      <c r="H28" s="7">
        <f>IF(COUNTA(B28:F28)&lt;5,"",INDEX({"Awareness","Desire","Knowledge","Ability","Reinforcement"},MATCH(MIN(B28:F28),B28:F28,0)))</f>
        <v/>
      </c>
    </row>
    <row r="29">
      <c r="A29" s="7" t="n"/>
      <c r="B29" s="7" t="n"/>
      <c r="C29" s="7" t="n"/>
      <c r="D29" s="7" t="n"/>
      <c r="E29" s="7" t="n"/>
      <c r="F29" s="7" t="n"/>
      <c r="G29" s="7">
        <f>IF(COUNTA(B29:F29)=5,SUM(B29:F29),"")</f>
        <v/>
      </c>
      <c r="H29" s="7">
        <f>IF(COUNTA(B29:F29)&lt;5,"",INDEX({"Awareness","Desire","Knowledge","Ability","Reinforcement"},MATCH(MIN(B29:F29),B29:F29,0)))</f>
        <v/>
      </c>
    </row>
    <row r="30">
      <c r="A30" s="7" t="n"/>
      <c r="B30" s="7" t="n"/>
      <c r="C30" s="7" t="n"/>
      <c r="D30" s="7" t="n"/>
      <c r="E30" s="7" t="n"/>
      <c r="F30" s="7" t="n"/>
      <c r="G30" s="7">
        <f>IF(COUNTA(B30:F30)=5,SUM(B30:F30),"")</f>
        <v/>
      </c>
      <c r="H30" s="7">
        <f>IF(COUNTA(B30:F30)&lt;5,"",INDEX({"Awareness","Desire","Knowledge","Ability","Reinforcement"},MATCH(MIN(B30:F30),B30:F30,0)))</f>
        <v/>
      </c>
    </row>
    <row r="31">
      <c r="A31" s="7" t="n"/>
      <c r="B31" s="7" t="n"/>
      <c r="C31" s="7" t="n"/>
      <c r="D31" s="7" t="n"/>
      <c r="E31" s="7" t="n"/>
      <c r="F31" s="7" t="n"/>
      <c r="G31" s="7">
        <f>IF(COUNTA(B31:F31)=5,SUM(B31:F31),"")</f>
        <v/>
      </c>
      <c r="H31" s="7">
        <f>IF(COUNTA(B31:F31)&lt;5,"",INDEX({"Awareness","Desire","Knowledge","Ability","Reinforcement"},MATCH(MIN(B31:F31),B31:F31,0)))</f>
        <v/>
      </c>
    </row>
  </sheetData>
  <dataValidations count="1">
    <dataValidation sqref="B4:F50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6" topLeftCell="Q1" activePane="topRight" state="frozen"/>
      <selection pane="top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30" customWidth="1" min="8" max="8"/>
    <col width="14" customWidth="1" min="9" max="9"/>
    <col width="12" customWidth="1" min="10" max="10"/>
    <col width="22" customWidth="1" min="12" max="12"/>
    <col width="8" customWidth="1" min="13" max="13"/>
    <col width="8" customWidth="1" min="14" max="14"/>
    <col width="35" customWidth="1" min="15" max="15"/>
    <col width="30" customWidth="1" min="17" max="17"/>
  </cols>
  <sheetData>
    <row r="1">
      <c r="A1" s="9" t="inlineStr">
        <is>
          <t>Stakeholder Analysis</t>
        </is>
      </c>
      <c r="L1" s="10" t="inlineStr">
        <is>
          <t>ROLE TEMPLATES (Reference)</t>
        </is>
      </c>
      <c r="Q1" s="2" t="inlineStr">
        <is>
          <t>INSTRUCTIONS</t>
        </is>
      </c>
    </row>
    <row r="2">
      <c r="L2" s="11" t="inlineStr">
        <is>
          <t>Role Template</t>
        </is>
      </c>
      <c r="M2" s="11" t="inlineStr">
        <is>
          <t>Power</t>
        </is>
      </c>
      <c r="N2" s="11" t="inlineStr">
        <is>
          <t>Interest</t>
        </is>
      </c>
      <c r="O2" s="11" t="inlineStr">
        <is>
          <t>Suggested Key Messages</t>
        </is>
      </c>
      <c r="Q2" s="4" t="inlineStr">
        <is>
          <t>HOW TO USE:</t>
        </is>
      </c>
    </row>
    <row r="3">
      <c r="A3" s="6" t="inlineStr">
        <is>
          <t>Name</t>
        </is>
      </c>
      <c r="B3" s="6" t="inlineStr">
        <is>
          <t>Role Template</t>
        </is>
      </c>
      <c r="C3" s="6" t="inlineStr">
        <is>
          <t>Department</t>
        </is>
      </c>
      <c r="D3" s="6" t="inlineStr">
        <is>
          <t>Power</t>
        </is>
      </c>
      <c r="E3" s="6" t="inlineStr">
        <is>
          <t>Interest</t>
        </is>
      </c>
      <c r="F3" s="6" t="inlineStr">
        <is>
          <t>Current</t>
        </is>
      </c>
      <c r="G3" s="6" t="inlineStr">
        <is>
          <t>Desired</t>
        </is>
      </c>
      <c r="H3" s="6" t="inlineStr">
        <is>
          <t>Key Messages</t>
        </is>
      </c>
      <c r="I3" s="6" t="inlineStr">
        <is>
          <t>Strategy</t>
        </is>
      </c>
      <c r="J3" s="6" t="inlineStr">
        <is>
          <t>Owner</t>
        </is>
      </c>
      <c r="L3" s="12" t="inlineStr">
        <is>
          <t>Executive Sponsor</t>
        </is>
      </c>
      <c r="M3" s="12" t="inlineStr">
        <is>
          <t>High</t>
        </is>
      </c>
      <c r="N3" s="12" t="inlineStr">
        <is>
          <t>High</t>
        </is>
      </c>
      <c r="O3" s="12" t="inlineStr">
        <is>
          <t>Strategic alignment, ROI, timeline</t>
        </is>
      </c>
      <c r="Q3" s="4" t="inlineStr">
        <is>
          <t>1. Enter stakeholder Name</t>
        </is>
      </c>
    </row>
    <row r="4">
      <c r="A4" s="13" t="n"/>
      <c r="B4" s="13" t="n"/>
      <c r="C4" s="13" t="n"/>
      <c r="D4" s="13">
        <f>IF(B4="","",VLOOKUP(B4,$L$3:$O$14,2,FALSE))</f>
        <v/>
      </c>
      <c r="E4" s="13">
        <f>IF(B4="","",VLOOKUP(B4,$L$3:$O$14,3,FALSE))</f>
        <v/>
      </c>
      <c r="F4" s="13" t="n"/>
      <c r="G4" s="13" t="n"/>
      <c r="H4" s="13">
        <f>IF(B4="","",VLOOKUP(B4,$L$3:$O$14,4,FALSE))</f>
        <v/>
      </c>
      <c r="I4" s="13">
        <f>IF(OR(D4="",E4=""),"",IF(AND(D4="High",E4="High"),"Manage Closely",IF(AND(D4="High",E4="Medium"),"Manage Closely",IF(AND(D4="High",E4="Low"),"Keep Satisfied",IF(AND(D4="Medium",E4="High"),"Keep Informed",IF(AND(D4="Medium",E4="Medium"),"Keep Informed",IF(AND(D4="Medium",E4="Low"),"Monitor",IF(AND(D4="Low",E4="High"),"Keep Informed",IF(AND(D4="Low",E4="Medium"),"Monitor","Monitor")))))))))</f>
        <v/>
      </c>
      <c r="J4" s="13" t="n"/>
      <c r="L4" s="12" t="inlineStr">
        <is>
          <t>Senior Leadership</t>
        </is>
      </c>
      <c r="M4" s="12" t="inlineStr">
        <is>
          <t>High</t>
        </is>
      </c>
      <c r="N4" s="12" t="inlineStr">
        <is>
          <t>Medium</t>
        </is>
      </c>
      <c r="O4" s="12" t="inlineStr">
        <is>
          <t>Business case, resource needs, risks</t>
        </is>
      </c>
      <c r="Q4" s="4" t="inlineStr">
        <is>
          <t>2. Select Role Template</t>
        </is>
      </c>
    </row>
    <row r="5">
      <c r="A5" s="13" t="n"/>
      <c r="B5" s="13" t="n"/>
      <c r="C5" s="13" t="n"/>
      <c r="D5" s="13">
        <f>IF(B5="","",VLOOKUP(B5,$L$3:$O$14,2,FALSE))</f>
        <v/>
      </c>
      <c r="E5" s="13">
        <f>IF(B5="","",VLOOKUP(B5,$L$3:$O$14,3,FALSE))</f>
        <v/>
      </c>
      <c r="F5" s="13" t="n"/>
      <c r="G5" s="13" t="n"/>
      <c r="H5" s="13">
        <f>IF(B5="","",VLOOKUP(B5,$L$3:$O$14,4,FALSE))</f>
        <v/>
      </c>
      <c r="I5" s="13">
        <f>IF(OR(D5="",E5=""),"",IF(AND(D5="High",E5="High"),"Manage Closely",IF(AND(D5="High",E5="Medium"),"Manage Closely",IF(AND(D5="High",E5="Low"),"Keep Satisfied",IF(AND(D5="Medium",E5="High"),"Keep Informed",IF(AND(D5="Medium",E5="Medium"),"Keep Informed",IF(AND(D5="Medium",E5="Low"),"Monitor",IF(AND(D5="Low",E5="High"),"Keep Informed",IF(AND(D5="Low",E5="Medium"),"Monitor","Monitor")))))))))</f>
        <v/>
      </c>
      <c r="J5" s="13" t="n"/>
      <c r="L5" s="12" t="inlineStr">
        <is>
          <t>Middle Manager</t>
        </is>
      </c>
      <c r="M5" s="12" t="inlineStr">
        <is>
          <t>Medium</t>
        </is>
      </c>
      <c r="N5" s="12" t="inlineStr">
        <is>
          <t>High</t>
        </is>
      </c>
      <c r="O5" s="12" t="inlineStr">
        <is>
          <t>Team impacts, timeline, support needed</t>
        </is>
      </c>
      <c r="Q5" s="4" t="inlineStr">
        <is>
          <t xml:space="preserve">   → Power auto-fills</t>
        </is>
      </c>
    </row>
    <row r="6">
      <c r="A6" s="13" t="n"/>
      <c r="B6" s="13" t="n"/>
      <c r="C6" s="13" t="n"/>
      <c r="D6" s="13">
        <f>IF(B6="","",VLOOKUP(B6,$L$3:$O$14,2,FALSE))</f>
        <v/>
      </c>
      <c r="E6" s="13">
        <f>IF(B6="","",VLOOKUP(B6,$L$3:$O$14,3,FALSE))</f>
        <v/>
      </c>
      <c r="F6" s="13" t="n"/>
      <c r="G6" s="13" t="n"/>
      <c r="H6" s="13">
        <f>IF(B6="","",VLOOKUP(B6,$L$3:$O$14,4,FALSE))</f>
        <v/>
      </c>
      <c r="I6" s="13">
        <f>IF(OR(D6="",E6=""),"",IF(AND(D6="High",E6="High"),"Manage Closely",IF(AND(D6="High",E6="Medium"),"Manage Closely",IF(AND(D6="High",E6="Low"),"Keep Satisfied",IF(AND(D6="Medium",E6="High"),"Keep Informed",IF(AND(D6="Medium",E6="Medium"),"Keep Informed",IF(AND(D6="Medium",E6="Low"),"Monitor",IF(AND(D6="Low",E6="High"),"Keep Informed",IF(AND(D6="Low",E6="Medium"),"Monitor","Monitor")))))))))</f>
        <v/>
      </c>
      <c r="J6" s="13" t="n"/>
      <c r="L6" s="12" t="inlineStr">
        <is>
          <t>Front-line Supervisor</t>
        </is>
      </c>
      <c r="M6" s="12" t="inlineStr">
        <is>
          <t>Medium</t>
        </is>
      </c>
      <c r="N6" s="12" t="inlineStr">
        <is>
          <t>High</t>
        </is>
      </c>
      <c r="O6" s="12" t="inlineStr">
        <is>
          <t>Daily operations, team concerns, training</t>
        </is>
      </c>
      <c r="Q6" s="4" t="inlineStr">
        <is>
          <t xml:space="preserve">   → Interest auto-fills</t>
        </is>
      </c>
    </row>
    <row r="7">
      <c r="A7" s="13" t="n"/>
      <c r="B7" s="13" t="n"/>
      <c r="C7" s="13" t="n"/>
      <c r="D7" s="13">
        <f>IF(B7="","",VLOOKUP(B7,$L$3:$O$14,2,FALSE))</f>
        <v/>
      </c>
      <c r="E7" s="13">
        <f>IF(B7="","",VLOOKUP(B7,$L$3:$O$14,3,FALSE))</f>
        <v/>
      </c>
      <c r="F7" s="13" t="n"/>
      <c r="G7" s="13" t="n"/>
      <c r="H7" s="13">
        <f>IF(B7="","",VLOOKUP(B7,$L$3:$O$14,4,FALSE))</f>
        <v/>
      </c>
      <c r="I7" s="13">
        <f>IF(OR(D7="",E7=""),"",IF(AND(D7="High",E7="High"),"Manage Closely",IF(AND(D7="High",E7="Medium"),"Manage Closely",IF(AND(D7="High",E7="Low"),"Keep Satisfied",IF(AND(D7="Medium",E7="High"),"Keep Informed",IF(AND(D7="Medium",E7="Medium"),"Keep Informed",IF(AND(D7="Medium",E7="Low"),"Monitor",IF(AND(D7="Low",E7="High"),"Keep Informed",IF(AND(D7="Low",E7="Medium"),"Monitor","Monitor")))))))))</f>
        <v/>
      </c>
      <c r="J7" s="13" t="n"/>
      <c r="L7" s="12" t="inlineStr">
        <is>
          <t>End User - Heavy Impact</t>
        </is>
      </c>
      <c r="M7" s="12" t="inlineStr">
        <is>
          <t>Low</t>
        </is>
      </c>
      <c r="N7" s="12" t="inlineStr">
        <is>
          <t>High</t>
        </is>
      </c>
      <c r="O7" s="12" t="inlineStr">
        <is>
          <t>What changes, training, support available</t>
        </is>
      </c>
      <c r="Q7" s="4" t="inlineStr">
        <is>
          <t xml:space="preserve">   → Key Messages auto-fills</t>
        </is>
      </c>
    </row>
    <row r="8">
      <c r="A8" s="13" t="n"/>
      <c r="B8" s="13" t="n"/>
      <c r="C8" s="13" t="n"/>
      <c r="D8" s="13">
        <f>IF(B8="","",VLOOKUP(B8,$L$3:$O$14,2,FALSE))</f>
        <v/>
      </c>
      <c r="E8" s="13">
        <f>IF(B8="","",VLOOKUP(B8,$L$3:$O$14,3,FALSE))</f>
        <v/>
      </c>
      <c r="F8" s="13" t="n"/>
      <c r="G8" s="13" t="n"/>
      <c r="H8" s="13">
        <f>IF(B8="","",VLOOKUP(B8,$L$3:$O$14,4,FALSE))</f>
        <v/>
      </c>
      <c r="I8" s="13">
        <f>IF(OR(D8="",E8=""),"",IF(AND(D8="High",E8="High"),"Manage Closely",IF(AND(D8="High",E8="Medium"),"Manage Closely",IF(AND(D8="High",E8="Low"),"Keep Satisfied",IF(AND(D8="Medium",E8="High"),"Keep Informed",IF(AND(D8="Medium",E8="Medium"),"Keep Informed",IF(AND(D8="Medium",E8="Low"),"Monitor",IF(AND(D8="Low",E8="High"),"Keep Informed",IF(AND(D8="Low",E8="Medium"),"Monitor","Monitor")))))))))</f>
        <v/>
      </c>
      <c r="J8" s="13" t="n"/>
      <c r="L8" s="12" t="inlineStr">
        <is>
          <t>End User - Light Impact</t>
        </is>
      </c>
      <c r="M8" s="12" t="inlineStr">
        <is>
          <t>Low</t>
        </is>
      </c>
      <c r="N8" s="12" t="inlineStr">
        <is>
          <t>Medium</t>
        </is>
      </c>
      <c r="O8" s="12" t="inlineStr">
        <is>
          <t>Overview, timeline, where to get help</t>
        </is>
      </c>
      <c r="Q8" s="4" t="inlineStr">
        <is>
          <t xml:space="preserve">   → Strategy auto-calculates</t>
        </is>
      </c>
    </row>
    <row r="9">
      <c r="A9" s="13" t="n"/>
      <c r="B9" s="13" t="n"/>
      <c r="C9" s="13" t="n"/>
      <c r="D9" s="13">
        <f>IF(B9="","",VLOOKUP(B9,$L$3:$O$14,2,FALSE))</f>
        <v/>
      </c>
      <c r="E9" s="13">
        <f>IF(B9="","",VLOOKUP(B9,$L$3:$O$14,3,FALSE))</f>
        <v/>
      </c>
      <c r="F9" s="13" t="n"/>
      <c r="G9" s="13" t="n"/>
      <c r="H9" s="13">
        <f>IF(B9="","",VLOOKUP(B9,$L$3:$O$14,4,FALSE))</f>
        <v/>
      </c>
      <c r="I9" s="13">
        <f>IF(OR(D9="",E9=""),"",IF(AND(D9="High",E9="High"),"Manage Closely",IF(AND(D9="High",E9="Medium"),"Manage Closely",IF(AND(D9="High",E9="Low"),"Keep Satisfied",IF(AND(D9="Medium",E9="High"),"Keep Informed",IF(AND(D9="Medium",E9="Medium"),"Keep Informed",IF(AND(D9="Medium",E9="Low"),"Monitor",IF(AND(D9="Low",E9="High"),"Keep Informed",IF(AND(D9="Low",E9="Medium"),"Monitor","Monitor")))))))))</f>
        <v/>
      </c>
      <c r="J9" s="13" t="n"/>
      <c r="L9" s="12" t="inlineStr">
        <is>
          <t>IT Support Staff</t>
        </is>
      </c>
      <c r="M9" s="12" t="inlineStr">
        <is>
          <t>Medium</t>
        </is>
      </c>
      <c r="N9" s="12" t="inlineStr">
        <is>
          <t>High</t>
        </is>
      </c>
      <c r="O9" s="12" t="inlineStr">
        <is>
          <t>Technical details, support procedures</t>
        </is>
      </c>
      <c r="Q9" s="4" t="inlineStr">
        <is>
          <t>3. Set Current/Desired state</t>
        </is>
      </c>
    </row>
    <row r="10">
      <c r="A10" s="13" t="n"/>
      <c r="B10" s="13" t="n"/>
      <c r="C10" s="13" t="n"/>
      <c r="D10" s="13">
        <f>IF(B10="","",VLOOKUP(B10,$L$3:$O$14,2,FALSE))</f>
        <v/>
      </c>
      <c r="E10" s="13">
        <f>IF(B10="","",VLOOKUP(B10,$L$3:$O$14,3,FALSE))</f>
        <v/>
      </c>
      <c r="F10" s="13" t="n"/>
      <c r="G10" s="13" t="n"/>
      <c r="H10" s="13">
        <f>IF(B10="","",VLOOKUP(B10,$L$3:$O$14,4,FALSE))</f>
        <v/>
      </c>
      <c r="I10" s="13">
        <f>IF(OR(D10="",E10=""),"",IF(AND(D10="High",E10="High"),"Manage Closely",IF(AND(D10="High",E10="Medium"),"Manage Closely",IF(AND(D10="High",E10="Low"),"Keep Satisfied",IF(AND(D10="Medium",E10="High"),"Keep Informed",IF(AND(D10="Medium",E10="Medium"),"Keep Informed",IF(AND(D10="Medium",E10="Low"),"Monitor",IF(AND(D10="Low",E10="High"),"Keep Informed",IF(AND(D10="Low",E10="Medium"),"Monitor","Monitor")))))))))</f>
        <v/>
      </c>
      <c r="J10" s="13" t="n"/>
      <c r="L10" s="12" t="inlineStr">
        <is>
          <t>HR/Training Team</t>
        </is>
      </c>
      <c r="M10" s="12" t="inlineStr">
        <is>
          <t>Medium</t>
        </is>
      </c>
      <c r="N10" s="12" t="inlineStr">
        <is>
          <t>Medium</t>
        </is>
      </c>
      <c r="O10" s="12" t="inlineStr">
        <is>
          <t>Training needs, policy updates</t>
        </is>
      </c>
      <c r="Q10" s="4" t="inlineStr">
        <is>
          <t>4. Assign Owner</t>
        </is>
      </c>
    </row>
    <row r="11">
      <c r="A11" s="13" t="n"/>
      <c r="B11" s="13" t="n"/>
      <c r="C11" s="13" t="n"/>
      <c r="D11" s="13">
        <f>IF(B11="","",VLOOKUP(B11,$L$3:$O$14,2,FALSE))</f>
        <v/>
      </c>
      <c r="E11" s="13">
        <f>IF(B11="","",VLOOKUP(B11,$L$3:$O$14,3,FALSE))</f>
        <v/>
      </c>
      <c r="F11" s="13" t="n"/>
      <c r="G11" s="13" t="n"/>
      <c r="H11" s="13">
        <f>IF(B11="","",VLOOKUP(B11,$L$3:$O$14,4,FALSE))</f>
        <v/>
      </c>
      <c r="I11" s="13">
        <f>IF(OR(D11="",E11=""),"",IF(AND(D11="High",E11="High"),"Manage Closely",IF(AND(D11="High",E11="Medium"),"Manage Closely",IF(AND(D11="High",E11="Low"),"Keep Satisfied",IF(AND(D11="Medium",E11="High"),"Keep Informed",IF(AND(D11="Medium",E11="Medium"),"Keep Informed",IF(AND(D11="Medium",E11="Low"),"Monitor",IF(AND(D11="Low",E11="High"),"Keep Informed",IF(AND(D11="Low",E11="Medium"),"Monitor","Monitor")))))))))</f>
        <v/>
      </c>
      <c r="J11" s="13" t="n"/>
      <c r="L11" s="12" t="inlineStr">
        <is>
          <t>Finance/Procurement</t>
        </is>
      </c>
      <c r="M11" s="12" t="inlineStr">
        <is>
          <t>Medium</t>
        </is>
      </c>
      <c r="N11" s="12" t="inlineStr">
        <is>
          <t>Low</t>
        </is>
      </c>
      <c r="O11" s="12" t="inlineStr">
        <is>
          <t>Budget, procurement, compliance</t>
        </is>
      </c>
      <c r="Q11" s="4" t="inlineStr"/>
    </row>
    <row r="12">
      <c r="A12" s="13" t="n"/>
      <c r="B12" s="13" t="n"/>
      <c r="C12" s="13" t="n"/>
      <c r="D12" s="13">
        <f>IF(B12="","",VLOOKUP(B12,$L$3:$O$14,2,FALSE))</f>
        <v/>
      </c>
      <c r="E12" s="13">
        <f>IF(B12="","",VLOOKUP(B12,$L$3:$O$14,3,FALSE))</f>
        <v/>
      </c>
      <c r="F12" s="13" t="n"/>
      <c r="G12" s="13" t="n"/>
      <c r="H12" s="13">
        <f>IF(B12="","",VLOOKUP(B12,$L$3:$O$14,4,FALSE))</f>
        <v/>
      </c>
      <c r="I12" s="13">
        <f>IF(OR(D12="",E12=""),"",IF(AND(D12="High",E12="High"),"Manage Closely",IF(AND(D12="High",E12="Medium"),"Manage Closely",IF(AND(D12="High",E12="Low"),"Keep Satisfied",IF(AND(D12="Medium",E12="High"),"Keep Informed",IF(AND(D12="Medium",E12="Medium"),"Keep Informed",IF(AND(D12="Medium",E12="Low"),"Monitor",IF(AND(D12="Low",E12="High"),"Keep Informed",IF(AND(D12="Low",E12="Medium"),"Monitor","Monitor")))))))))</f>
        <v/>
      </c>
      <c r="J12" s="13" t="n"/>
      <c r="L12" s="12" t="inlineStr">
        <is>
          <t>External Partner</t>
        </is>
      </c>
      <c r="M12" s="12" t="inlineStr">
        <is>
          <t>Low</t>
        </is>
      </c>
      <c r="N12" s="12" t="inlineStr">
        <is>
          <t>Medium</t>
        </is>
      </c>
      <c r="O12" s="12" t="inlineStr">
        <is>
          <t>Partnership impacts, coordination</t>
        </is>
      </c>
      <c r="Q12" s="4" t="inlineStr">
        <is>
          <t>You can override auto-filled</t>
        </is>
      </c>
    </row>
    <row r="13">
      <c r="A13" s="13" t="n"/>
      <c r="B13" s="13" t="n"/>
      <c r="C13" s="13" t="n"/>
      <c r="D13" s="13">
        <f>IF(B13="","",VLOOKUP(B13,$L$3:$O$14,2,FALSE))</f>
        <v/>
      </c>
      <c r="E13" s="13">
        <f>IF(B13="","",VLOOKUP(B13,$L$3:$O$14,3,FALSE))</f>
        <v/>
      </c>
      <c r="F13" s="13" t="n"/>
      <c r="G13" s="13" t="n"/>
      <c r="H13" s="13">
        <f>IF(B13="","",VLOOKUP(B13,$L$3:$O$14,4,FALSE))</f>
        <v/>
      </c>
      <c r="I13" s="13">
        <f>IF(OR(D13="",E13=""),"",IF(AND(D13="High",E13="High"),"Manage Closely",IF(AND(D13="High",E13="Medium"),"Manage Closely",IF(AND(D13="High",E13="Low"),"Keep Satisfied",IF(AND(D13="Medium",E13="High"),"Keep Informed",IF(AND(D13="Medium",E13="Medium"),"Keep Informed",IF(AND(D13="Medium",E13="Low"),"Monitor",IF(AND(D13="Low",E13="High"),"Keep Informed",IF(AND(D13="Low",E13="Medium"),"Monitor","Monitor")))))))))</f>
        <v/>
      </c>
      <c r="J13" s="13" t="n"/>
      <c r="L13" s="12" t="inlineStr">
        <is>
          <t>Union Representative</t>
        </is>
      </c>
      <c r="M13" s="12" t="inlineStr">
        <is>
          <t>Medium</t>
        </is>
      </c>
      <c r="N13" s="12" t="inlineStr">
        <is>
          <t>High</t>
        </is>
      </c>
      <c r="O13" s="12" t="inlineStr">
        <is>
          <t>Employee impacts, consultation process</t>
        </is>
      </c>
      <c r="Q13" s="4" t="inlineStr">
        <is>
          <t>values if needed.</t>
        </is>
      </c>
    </row>
    <row r="14">
      <c r="A14" s="13" t="n"/>
      <c r="B14" s="13" t="n"/>
      <c r="C14" s="13" t="n"/>
      <c r="D14" s="13">
        <f>IF(B14="","",VLOOKUP(B14,$L$3:$O$14,2,FALSE))</f>
        <v/>
      </c>
      <c r="E14" s="13">
        <f>IF(B14="","",VLOOKUP(B14,$L$3:$O$14,3,FALSE))</f>
        <v/>
      </c>
      <c r="F14" s="13" t="n"/>
      <c r="G14" s="13" t="n"/>
      <c r="H14" s="13">
        <f>IF(B14="","",VLOOKUP(B14,$L$3:$O$14,4,FALSE))</f>
        <v/>
      </c>
      <c r="I14" s="13">
        <f>IF(OR(D14="",E14=""),"",IF(AND(D14="High",E14="High"),"Manage Closely",IF(AND(D14="High",E14="Medium"),"Manage Closely",IF(AND(D14="High",E14="Low"),"Keep Satisfied",IF(AND(D14="Medium",E14="High"),"Keep Informed",IF(AND(D14="Medium",E14="Medium"),"Keep Informed",IF(AND(D14="Medium",E14="Low"),"Monitor",IF(AND(D14="Low",E14="High"),"Keep Informed",IF(AND(D14="Low",E14="Medium"),"Monitor","Monitor")))))))))</f>
        <v/>
      </c>
      <c r="J14" s="13" t="n"/>
      <c r="L14" s="12" t="inlineStr">
        <is>
          <t>Customer (if impacted)</t>
        </is>
      </c>
      <c r="M14" s="12" t="inlineStr">
        <is>
          <t>Low</t>
        </is>
      </c>
      <c r="N14" s="12" t="inlineStr">
        <is>
          <t>High</t>
        </is>
      </c>
      <c r="O14" s="12" t="inlineStr">
        <is>
          <t>Service changes, benefits, timeline</t>
        </is>
      </c>
      <c r="Q14" s="4" t="inlineStr"/>
    </row>
    <row r="15">
      <c r="A15" s="13" t="n"/>
      <c r="B15" s="13" t="n"/>
      <c r="C15" s="13" t="n"/>
      <c r="D15" s="13">
        <f>IF(B15="","",VLOOKUP(B15,$L$3:$O$14,2,FALSE))</f>
        <v/>
      </c>
      <c r="E15" s="13">
        <f>IF(B15="","",VLOOKUP(B15,$L$3:$O$14,3,FALSE))</f>
        <v/>
      </c>
      <c r="F15" s="13" t="n"/>
      <c r="G15" s="13" t="n"/>
      <c r="H15" s="13">
        <f>IF(B15="","",VLOOKUP(B15,$L$3:$O$14,4,FALSE))</f>
        <v/>
      </c>
      <c r="I15" s="13">
        <f>IF(OR(D15="",E15=""),"",IF(AND(D15="High",E15="High"),"Manage Closely",IF(AND(D15="High",E15="Medium"),"Manage Closely",IF(AND(D15="High",E15="Low"),"Keep Satisfied",IF(AND(D15="Medium",E15="High"),"Keep Informed",IF(AND(D15="Medium",E15="Medium"),"Keep Informed",IF(AND(D15="Medium",E15="Low"),"Monitor",IF(AND(D15="Low",E15="High"),"Keep Informed",IF(AND(D15="Low",E15="Medium"),"Monitor","Monitor")))))))))</f>
        <v/>
      </c>
      <c r="J15" s="13" t="n"/>
      <c r="Q15" s="4" t="inlineStr">
        <is>
          <t>STRATEGY LOGIC:</t>
        </is>
      </c>
    </row>
    <row r="16">
      <c r="A16" s="13" t="n"/>
      <c r="B16" s="13" t="n"/>
      <c r="C16" s="13" t="n"/>
      <c r="D16" s="13">
        <f>IF(B16="","",VLOOKUP(B16,$L$3:$O$14,2,FALSE))</f>
        <v/>
      </c>
      <c r="E16" s="13">
        <f>IF(B16="","",VLOOKUP(B16,$L$3:$O$14,3,FALSE))</f>
        <v/>
      </c>
      <c r="F16" s="13" t="n"/>
      <c r="G16" s="13" t="n"/>
      <c r="H16" s="13">
        <f>IF(B16="","",VLOOKUP(B16,$L$3:$O$14,4,FALSE))</f>
        <v/>
      </c>
      <c r="I16" s="13">
        <f>IF(OR(D16="",E16=""),"",IF(AND(D16="High",E16="High"),"Manage Closely",IF(AND(D16="High",E16="Medium"),"Manage Closely",IF(AND(D16="High",E16="Low"),"Keep Satisfied",IF(AND(D16="Medium",E16="High"),"Keep Informed",IF(AND(D16="Medium",E16="Medium"),"Keep Informed",IF(AND(D16="Medium",E16="Low"),"Monitor",IF(AND(D16="Low",E16="High"),"Keep Informed",IF(AND(D16="Low",E16="Medium"),"Monitor","Monitor")))))))))</f>
        <v/>
      </c>
      <c r="J16" s="13" t="n"/>
      <c r="Q16" s="4" t="inlineStr">
        <is>
          <t>High Pwr + High Int → Manage Closely</t>
        </is>
      </c>
    </row>
    <row r="17">
      <c r="A17" s="13" t="n"/>
      <c r="B17" s="13" t="n"/>
      <c r="C17" s="13" t="n"/>
      <c r="D17" s="13">
        <f>IF(B17="","",VLOOKUP(B17,$L$3:$O$14,2,FALSE))</f>
        <v/>
      </c>
      <c r="E17" s="13">
        <f>IF(B17="","",VLOOKUP(B17,$L$3:$O$14,3,FALSE))</f>
        <v/>
      </c>
      <c r="F17" s="13" t="n"/>
      <c r="G17" s="13" t="n"/>
      <c r="H17" s="13">
        <f>IF(B17="","",VLOOKUP(B17,$L$3:$O$14,4,FALSE))</f>
        <v/>
      </c>
      <c r="I17" s="13">
        <f>IF(OR(D17="",E17=""),"",IF(AND(D17="High",E17="High"),"Manage Closely",IF(AND(D17="High",E17="Medium"),"Manage Closely",IF(AND(D17="High",E17="Low"),"Keep Satisfied",IF(AND(D17="Medium",E17="High"),"Keep Informed",IF(AND(D17="Medium",E17="Medium"),"Keep Informed",IF(AND(D17="Medium",E17="Low"),"Monitor",IF(AND(D17="Low",E17="High"),"Keep Informed",IF(AND(D17="Low",E17="Medium"),"Monitor","Monitor")))))))))</f>
        <v/>
      </c>
      <c r="J17" s="13" t="n"/>
      <c r="Q17" s="4" t="inlineStr">
        <is>
          <t>High Pwr + Low Int → Keep Satisfied</t>
        </is>
      </c>
    </row>
    <row r="18">
      <c r="A18" s="13" t="n"/>
      <c r="B18" s="13" t="n"/>
      <c r="C18" s="13" t="n"/>
      <c r="D18" s="13">
        <f>IF(B18="","",VLOOKUP(B18,$L$3:$O$14,2,FALSE))</f>
        <v/>
      </c>
      <c r="E18" s="13">
        <f>IF(B18="","",VLOOKUP(B18,$L$3:$O$14,3,FALSE))</f>
        <v/>
      </c>
      <c r="F18" s="13" t="n"/>
      <c r="G18" s="13" t="n"/>
      <c r="H18" s="13">
        <f>IF(B18="","",VLOOKUP(B18,$L$3:$O$14,4,FALSE))</f>
        <v/>
      </c>
      <c r="I18" s="13">
        <f>IF(OR(D18="",E18=""),"",IF(AND(D18="High",E18="High"),"Manage Closely",IF(AND(D18="High",E18="Medium"),"Manage Closely",IF(AND(D18="High",E18="Low"),"Keep Satisfied",IF(AND(D18="Medium",E18="High"),"Keep Informed",IF(AND(D18="Medium",E18="Medium"),"Keep Informed",IF(AND(D18="Medium",E18="Low"),"Monitor",IF(AND(D18="Low",E18="High"),"Keep Informed",IF(AND(D18="Low",E18="Medium"),"Monitor","Monitor")))))))))</f>
        <v/>
      </c>
      <c r="J18" s="13" t="n"/>
      <c r="Q18" s="4" t="inlineStr">
        <is>
          <t>Low Pwr + High Int → Keep Informed</t>
        </is>
      </c>
    </row>
    <row r="19">
      <c r="A19" s="13" t="n"/>
      <c r="B19" s="13" t="n"/>
      <c r="C19" s="13" t="n"/>
      <c r="D19" s="13">
        <f>IF(B19="","",VLOOKUP(B19,$L$3:$O$14,2,FALSE))</f>
        <v/>
      </c>
      <c r="E19" s="13">
        <f>IF(B19="","",VLOOKUP(B19,$L$3:$O$14,3,FALSE))</f>
        <v/>
      </c>
      <c r="F19" s="13" t="n"/>
      <c r="G19" s="13" t="n"/>
      <c r="H19" s="13">
        <f>IF(B19="","",VLOOKUP(B19,$L$3:$O$14,4,FALSE))</f>
        <v/>
      </c>
      <c r="I19" s="13">
        <f>IF(OR(D19="",E19=""),"",IF(AND(D19="High",E19="High"),"Manage Closely",IF(AND(D19="High",E19="Medium"),"Manage Closely",IF(AND(D19="High",E19="Low"),"Keep Satisfied",IF(AND(D19="Medium",E19="High"),"Keep Informed",IF(AND(D19="Medium",E19="Medium"),"Keep Informed",IF(AND(D19="Medium",E19="Low"),"Monitor",IF(AND(D19="Low",E19="High"),"Keep Informed",IF(AND(D19="Low",E19="Medium"),"Monitor","Monitor")))))))))</f>
        <v/>
      </c>
      <c r="J19" s="13" t="n"/>
      <c r="Q19" s="4" t="inlineStr">
        <is>
          <t>Low Pwr + Low Int → Monitor</t>
        </is>
      </c>
    </row>
    <row r="20">
      <c r="A20" s="13" t="n"/>
      <c r="B20" s="13" t="n"/>
      <c r="C20" s="13" t="n"/>
      <c r="D20" s="13">
        <f>IF(B20="","",VLOOKUP(B20,$L$3:$O$14,2,FALSE))</f>
        <v/>
      </c>
      <c r="E20" s="13">
        <f>IF(B20="","",VLOOKUP(B20,$L$3:$O$14,3,FALSE))</f>
        <v/>
      </c>
      <c r="F20" s="13" t="n"/>
      <c r="G20" s="13" t="n"/>
      <c r="H20" s="13">
        <f>IF(B20="","",VLOOKUP(B20,$L$3:$O$14,4,FALSE))</f>
        <v/>
      </c>
      <c r="I20" s="13">
        <f>IF(OR(D20="",E20=""),"",IF(AND(D20="High",E20="High"),"Manage Closely",IF(AND(D20="High",E20="Medium"),"Manage Closely",IF(AND(D20="High",E20="Low"),"Keep Satisfied",IF(AND(D20="Medium",E20="High"),"Keep Informed",IF(AND(D20="Medium",E20="Medium"),"Keep Informed",IF(AND(D20="Medium",E20="Low"),"Monitor",IF(AND(D20="Low",E20="High"),"Keep Informed",IF(AND(D20="Low",E20="Medium"),"Monitor","Monitor")))))))))</f>
        <v/>
      </c>
      <c r="J20" s="13" t="n"/>
    </row>
    <row r="21">
      <c r="A21" s="13" t="n"/>
      <c r="B21" s="13" t="n"/>
      <c r="C21" s="13" t="n"/>
      <c r="D21" s="13">
        <f>IF(B21="","",VLOOKUP(B21,$L$3:$O$14,2,FALSE))</f>
        <v/>
      </c>
      <c r="E21" s="13">
        <f>IF(B21="","",VLOOKUP(B21,$L$3:$O$14,3,FALSE))</f>
        <v/>
      </c>
      <c r="F21" s="13" t="n"/>
      <c r="G21" s="13" t="n"/>
      <c r="H21" s="13">
        <f>IF(B21="","",VLOOKUP(B21,$L$3:$O$14,4,FALSE))</f>
        <v/>
      </c>
      <c r="I21" s="13">
        <f>IF(OR(D21="",E21=""),"",IF(AND(D21="High",E21="High"),"Manage Closely",IF(AND(D21="High",E21="Medium"),"Manage Closely",IF(AND(D21="High",E21="Low"),"Keep Satisfied",IF(AND(D21="Medium",E21="High"),"Keep Informed",IF(AND(D21="Medium",E21="Medium"),"Keep Informed",IF(AND(D21="Medium",E21="Low"),"Monitor",IF(AND(D21="Low",E21="High"),"Keep Informed",IF(AND(D21="Low",E21="Medium"),"Monitor","Monitor")))))))))</f>
        <v/>
      </c>
      <c r="J21" s="13" t="n"/>
    </row>
    <row r="22">
      <c r="A22" s="13" t="n"/>
      <c r="B22" s="13" t="n"/>
      <c r="C22" s="13" t="n"/>
      <c r="D22" s="13">
        <f>IF(B22="","",VLOOKUP(B22,$L$3:$O$14,2,FALSE))</f>
        <v/>
      </c>
      <c r="E22" s="13">
        <f>IF(B22="","",VLOOKUP(B22,$L$3:$O$14,3,FALSE))</f>
        <v/>
      </c>
      <c r="F22" s="13" t="n"/>
      <c r="G22" s="13" t="n"/>
      <c r="H22" s="13">
        <f>IF(B22="","",VLOOKUP(B22,$L$3:$O$14,4,FALSE))</f>
        <v/>
      </c>
      <c r="I22" s="13">
        <f>IF(OR(D22="",E22=""),"",IF(AND(D22="High",E22="High"),"Manage Closely",IF(AND(D22="High",E22="Medium"),"Manage Closely",IF(AND(D22="High",E22="Low"),"Keep Satisfied",IF(AND(D22="Medium",E22="High"),"Keep Informed",IF(AND(D22="Medium",E22="Medium"),"Keep Informed",IF(AND(D22="Medium",E22="Low"),"Monitor",IF(AND(D22="Low",E22="High"),"Keep Informed",IF(AND(D22="Low",E22="Medium"),"Monitor","Monitor")))))))))</f>
        <v/>
      </c>
      <c r="J22" s="13" t="n"/>
    </row>
    <row r="23">
      <c r="A23" s="13" t="n"/>
      <c r="B23" s="13" t="n"/>
      <c r="C23" s="13" t="n"/>
      <c r="D23" s="13">
        <f>IF(B23="","",VLOOKUP(B23,$L$3:$O$14,2,FALSE))</f>
        <v/>
      </c>
      <c r="E23" s="13">
        <f>IF(B23="","",VLOOKUP(B23,$L$3:$O$14,3,FALSE))</f>
        <v/>
      </c>
      <c r="F23" s="13" t="n"/>
      <c r="G23" s="13" t="n"/>
      <c r="H23" s="13">
        <f>IF(B23="","",VLOOKUP(B23,$L$3:$O$14,4,FALSE))</f>
        <v/>
      </c>
      <c r="I23" s="13">
        <f>IF(OR(D23="",E23=""),"",IF(AND(D23="High",E23="High"),"Manage Closely",IF(AND(D23="High",E23="Medium"),"Manage Closely",IF(AND(D23="High",E23="Low"),"Keep Satisfied",IF(AND(D23="Medium",E23="High"),"Keep Informed",IF(AND(D23="Medium",E23="Medium"),"Keep Informed",IF(AND(D23="Medium",E23="Low"),"Monitor",IF(AND(D23="Low",E23="High"),"Keep Informed",IF(AND(D23="Low",E23="Medium"),"Monitor","Monitor")))))))))</f>
        <v/>
      </c>
      <c r="J23" s="13" t="n"/>
    </row>
    <row r="24">
      <c r="A24" s="13" t="n"/>
      <c r="B24" s="13" t="n"/>
      <c r="C24" s="13" t="n"/>
      <c r="D24" s="13">
        <f>IF(B24="","",VLOOKUP(B24,$L$3:$O$14,2,FALSE))</f>
        <v/>
      </c>
      <c r="E24" s="13">
        <f>IF(B24="","",VLOOKUP(B24,$L$3:$O$14,3,FALSE))</f>
        <v/>
      </c>
      <c r="F24" s="13" t="n"/>
      <c r="G24" s="13" t="n"/>
      <c r="H24" s="13">
        <f>IF(B24="","",VLOOKUP(B24,$L$3:$O$14,4,FALSE))</f>
        <v/>
      </c>
      <c r="I24" s="13">
        <f>IF(OR(D24="",E24=""),"",IF(AND(D24="High",E24="High"),"Manage Closely",IF(AND(D24="High",E24="Medium"),"Manage Closely",IF(AND(D24="High",E24="Low"),"Keep Satisfied",IF(AND(D24="Medium",E24="High"),"Keep Informed",IF(AND(D24="Medium",E24="Medium"),"Keep Informed",IF(AND(D24="Medium",E24="Low"),"Monitor",IF(AND(D24="Low",E24="High"),"Keep Informed",IF(AND(D24="Low",E24="Medium"),"Monitor","Monitor")))))))))</f>
        <v/>
      </c>
      <c r="J24" s="13" t="n"/>
    </row>
    <row r="25">
      <c r="A25" s="13" t="n"/>
      <c r="B25" s="13" t="n"/>
      <c r="C25" s="13" t="n"/>
      <c r="D25" s="13">
        <f>IF(B25="","",VLOOKUP(B25,$L$3:$O$14,2,FALSE))</f>
        <v/>
      </c>
      <c r="E25" s="13">
        <f>IF(B25="","",VLOOKUP(B25,$L$3:$O$14,3,FALSE))</f>
        <v/>
      </c>
      <c r="F25" s="13" t="n"/>
      <c r="G25" s="13" t="n"/>
      <c r="H25" s="13">
        <f>IF(B25="","",VLOOKUP(B25,$L$3:$O$14,4,FALSE))</f>
        <v/>
      </c>
      <c r="I25" s="13">
        <f>IF(OR(D25="",E25=""),"",IF(AND(D25="High",E25="High"),"Manage Closely",IF(AND(D25="High",E25="Medium"),"Manage Closely",IF(AND(D25="High",E25="Low"),"Keep Satisfied",IF(AND(D25="Medium",E25="High"),"Keep Informed",IF(AND(D25="Medium",E25="Medium"),"Keep Informed",IF(AND(D25="Medium",E25="Low"),"Monitor",IF(AND(D25="Low",E25="High"),"Keep Informed",IF(AND(D25="Low",E25="Medium"),"Monitor","Monitor")))))))))</f>
        <v/>
      </c>
      <c r="J25" s="13" t="n"/>
    </row>
    <row r="26">
      <c r="A26" s="13" t="n"/>
      <c r="B26" s="13" t="n"/>
      <c r="C26" s="13" t="n"/>
      <c r="D26" s="13">
        <f>IF(B26="","",VLOOKUP(B26,$L$3:$O$14,2,FALSE))</f>
        <v/>
      </c>
      <c r="E26" s="13">
        <f>IF(B26="","",VLOOKUP(B26,$L$3:$O$14,3,FALSE))</f>
        <v/>
      </c>
      <c r="F26" s="13" t="n"/>
      <c r="G26" s="13" t="n"/>
      <c r="H26" s="13">
        <f>IF(B26="","",VLOOKUP(B26,$L$3:$O$14,4,FALSE))</f>
        <v/>
      </c>
      <c r="I26" s="13">
        <f>IF(OR(D26="",E26=""),"",IF(AND(D26="High",E26="High"),"Manage Closely",IF(AND(D26="High",E26="Medium"),"Manage Closely",IF(AND(D26="High",E26="Low"),"Keep Satisfied",IF(AND(D26="Medium",E26="High"),"Keep Informed",IF(AND(D26="Medium",E26="Medium"),"Keep Informed",IF(AND(D26="Medium",E26="Low"),"Monitor",IF(AND(D26="Low",E26="High"),"Keep Informed",IF(AND(D26="Low",E26="Medium"),"Monitor","Monitor")))))))))</f>
        <v/>
      </c>
      <c r="J26" s="13" t="n"/>
    </row>
    <row r="27">
      <c r="A27" s="13" t="n"/>
      <c r="B27" s="13" t="n"/>
      <c r="C27" s="13" t="n"/>
      <c r="D27" s="13">
        <f>IF(B27="","",VLOOKUP(B27,$L$3:$O$14,2,FALSE))</f>
        <v/>
      </c>
      <c r="E27" s="13">
        <f>IF(B27="","",VLOOKUP(B27,$L$3:$O$14,3,FALSE))</f>
        <v/>
      </c>
      <c r="F27" s="13" t="n"/>
      <c r="G27" s="13" t="n"/>
      <c r="H27" s="13">
        <f>IF(B27="","",VLOOKUP(B27,$L$3:$O$14,4,FALSE))</f>
        <v/>
      </c>
      <c r="I27" s="13">
        <f>IF(OR(D27="",E27=""),"",IF(AND(D27="High",E27="High"),"Manage Closely",IF(AND(D27="High",E27="Medium"),"Manage Closely",IF(AND(D27="High",E27="Low"),"Keep Satisfied",IF(AND(D27="Medium",E27="High"),"Keep Informed",IF(AND(D27="Medium",E27="Medium"),"Keep Informed",IF(AND(D27="Medium",E27="Low"),"Monitor",IF(AND(D27="Low",E27="High"),"Keep Informed",IF(AND(D27="Low",E27="Medium"),"Monitor","Monitor")))))))))</f>
        <v/>
      </c>
      <c r="J27" s="13" t="n"/>
    </row>
    <row r="28">
      <c r="A28" s="13" t="n"/>
      <c r="B28" s="13" t="n"/>
      <c r="C28" s="13" t="n"/>
      <c r="D28" s="13">
        <f>IF(B28="","",VLOOKUP(B28,$L$3:$O$14,2,FALSE))</f>
        <v/>
      </c>
      <c r="E28" s="13">
        <f>IF(B28="","",VLOOKUP(B28,$L$3:$O$14,3,FALSE))</f>
        <v/>
      </c>
      <c r="F28" s="13" t="n"/>
      <c r="G28" s="13" t="n"/>
      <c r="H28" s="13">
        <f>IF(B28="","",VLOOKUP(B28,$L$3:$O$14,4,FALSE))</f>
        <v/>
      </c>
      <c r="I28" s="13">
        <f>IF(OR(D28="",E28=""),"",IF(AND(D28="High",E28="High"),"Manage Closely",IF(AND(D28="High",E28="Medium"),"Manage Closely",IF(AND(D28="High",E28="Low"),"Keep Satisfied",IF(AND(D28="Medium",E28="High"),"Keep Informed",IF(AND(D28="Medium",E28="Medium"),"Keep Informed",IF(AND(D28="Medium",E28="Low"),"Monitor",IF(AND(D28="Low",E28="High"),"Keep Informed",IF(AND(D28="Low",E28="Medium"),"Monitor","Monitor")))))))))</f>
        <v/>
      </c>
      <c r="J28" s="13" t="n"/>
    </row>
    <row r="29">
      <c r="A29" s="13" t="n"/>
      <c r="B29" s="13" t="n"/>
      <c r="C29" s="13" t="n"/>
      <c r="D29" s="13">
        <f>IF(B29="","",VLOOKUP(B29,$L$3:$O$14,2,FALSE))</f>
        <v/>
      </c>
      <c r="E29" s="13">
        <f>IF(B29="","",VLOOKUP(B29,$L$3:$O$14,3,FALSE))</f>
        <v/>
      </c>
      <c r="F29" s="13" t="n"/>
      <c r="G29" s="13" t="n"/>
      <c r="H29" s="13">
        <f>IF(B29="","",VLOOKUP(B29,$L$3:$O$14,4,FALSE))</f>
        <v/>
      </c>
      <c r="I29" s="13">
        <f>IF(OR(D29="",E29=""),"",IF(AND(D29="High",E29="High"),"Manage Closely",IF(AND(D29="High",E29="Medium"),"Manage Closely",IF(AND(D29="High",E29="Low"),"Keep Satisfied",IF(AND(D29="Medium",E29="High"),"Keep Informed",IF(AND(D29="Medium",E29="Medium"),"Keep Informed",IF(AND(D29="Medium",E29="Low"),"Monitor",IF(AND(D29="Low",E29="High"),"Keep Informed",IF(AND(D29="Low",E29="Medium"),"Monitor","Monitor")))))))))</f>
        <v/>
      </c>
      <c r="J29" s="13" t="n"/>
    </row>
    <row r="30">
      <c r="A30" s="13" t="n"/>
      <c r="B30" s="13" t="n"/>
      <c r="C30" s="13" t="n"/>
      <c r="D30" s="13">
        <f>IF(B30="","",VLOOKUP(B30,$L$3:$O$14,2,FALSE))</f>
        <v/>
      </c>
      <c r="E30" s="13">
        <f>IF(B30="","",VLOOKUP(B30,$L$3:$O$14,3,FALSE))</f>
        <v/>
      </c>
      <c r="F30" s="13" t="n"/>
      <c r="G30" s="13" t="n"/>
      <c r="H30" s="13">
        <f>IF(B30="","",VLOOKUP(B30,$L$3:$O$14,4,FALSE))</f>
        <v/>
      </c>
      <c r="I30" s="13">
        <f>IF(OR(D30="",E30=""),"",IF(AND(D30="High",E30="High"),"Manage Closely",IF(AND(D30="High",E30="Medium"),"Manage Closely",IF(AND(D30="High",E30="Low"),"Keep Satisfied",IF(AND(D30="Medium",E30="High"),"Keep Informed",IF(AND(D30="Medium",E30="Medium"),"Keep Informed",IF(AND(D30="Medium",E30="Low"),"Monitor",IF(AND(D30="Low",E30="High"),"Keep Informed",IF(AND(D30="Low",E30="Medium"),"Monitor","Monitor")))))))))</f>
        <v/>
      </c>
      <c r="J30" s="13" t="n"/>
    </row>
    <row r="31">
      <c r="A31" s="13" t="n"/>
      <c r="B31" s="13" t="n"/>
      <c r="C31" s="13" t="n"/>
      <c r="D31" s="13">
        <f>IF(B31="","",VLOOKUP(B31,$L$3:$O$14,2,FALSE))</f>
        <v/>
      </c>
      <c r="E31" s="13">
        <f>IF(B31="","",VLOOKUP(B31,$L$3:$O$14,3,FALSE))</f>
        <v/>
      </c>
      <c r="F31" s="13" t="n"/>
      <c r="G31" s="13" t="n"/>
      <c r="H31" s="13">
        <f>IF(B31="","",VLOOKUP(B31,$L$3:$O$14,4,FALSE))</f>
        <v/>
      </c>
      <c r="I31" s="13">
        <f>IF(OR(D31="",E31=""),"",IF(AND(D31="High",E31="High"),"Manage Closely",IF(AND(D31="High",E31="Medium"),"Manage Closely",IF(AND(D31="High",E31="Low"),"Keep Satisfied",IF(AND(D31="Medium",E31="High"),"Keep Informed",IF(AND(D31="Medium",E31="Medium"),"Keep Informed",IF(AND(D31="Medium",E31="Low"),"Monitor",IF(AND(D31="Low",E31="High"),"Keep Informed",IF(AND(D31="Low",E31="Medium"),"Monitor","Monitor")))))))))</f>
        <v/>
      </c>
      <c r="J31" s="13" t="n"/>
    </row>
    <row r="32">
      <c r="A32" s="13" t="n"/>
      <c r="B32" s="13" t="n"/>
      <c r="C32" s="13" t="n"/>
      <c r="D32" s="13">
        <f>IF(B32="","",VLOOKUP(B32,$L$3:$O$14,2,FALSE))</f>
        <v/>
      </c>
      <c r="E32" s="13">
        <f>IF(B32="","",VLOOKUP(B32,$L$3:$O$14,3,FALSE))</f>
        <v/>
      </c>
      <c r="F32" s="13" t="n"/>
      <c r="G32" s="13" t="n"/>
      <c r="H32" s="13">
        <f>IF(B32="","",VLOOKUP(B32,$L$3:$O$14,4,FALSE))</f>
        <v/>
      </c>
      <c r="I32" s="13">
        <f>IF(OR(D32="",E32=""),"",IF(AND(D32="High",E32="High"),"Manage Closely",IF(AND(D32="High",E32="Medium"),"Manage Closely",IF(AND(D32="High",E32="Low"),"Keep Satisfied",IF(AND(D32="Medium",E32="High"),"Keep Informed",IF(AND(D32="Medium",E32="Medium"),"Keep Informed",IF(AND(D32="Medium",E32="Low"),"Monitor",IF(AND(D32="Low",E32="High"),"Keep Informed",IF(AND(D32="Low",E32="Medium"),"Monitor","Monitor")))))))))</f>
        <v/>
      </c>
      <c r="J32" s="13" t="n"/>
    </row>
    <row r="33">
      <c r="A33" s="13" t="n"/>
      <c r="B33" s="13" t="n"/>
      <c r="C33" s="13" t="n"/>
      <c r="D33" s="13">
        <f>IF(B33="","",VLOOKUP(B33,$L$3:$O$14,2,FALSE))</f>
        <v/>
      </c>
      <c r="E33" s="13">
        <f>IF(B33="","",VLOOKUP(B33,$L$3:$O$14,3,FALSE))</f>
        <v/>
      </c>
      <c r="F33" s="13" t="n"/>
      <c r="G33" s="13" t="n"/>
      <c r="H33" s="13">
        <f>IF(B33="","",VLOOKUP(B33,$L$3:$O$14,4,FALSE))</f>
        <v/>
      </c>
      <c r="I33" s="13">
        <f>IF(OR(D33="",E33=""),"",IF(AND(D33="High",E33="High"),"Manage Closely",IF(AND(D33="High",E33="Medium"),"Manage Closely",IF(AND(D33="High",E33="Low"),"Keep Satisfied",IF(AND(D33="Medium",E33="High"),"Keep Informed",IF(AND(D33="Medium",E33="Medium"),"Keep Informed",IF(AND(D33="Medium",E33="Low"),"Monitor",IF(AND(D33="Low",E33="High"),"Keep Informed",IF(AND(D33="Low",E33="Medium"),"Monitor","Monitor")))))))))</f>
        <v/>
      </c>
      <c r="J33" s="13" t="n"/>
    </row>
  </sheetData>
  <dataValidations count="2">
    <dataValidation sqref="B4:B50" showDropDown="0" showInputMessage="0" showErrorMessage="0" allowBlank="0" type="list">
      <formula1>"Executive Sponsor,Senior Leadership,Middle Manager,Front-line Supervisor,End User - Heavy Impact,End User - Light Impact,IT Support Staff,HR/Training Team,Finance/Procurement,External Partner,Union Representative,Customer (if impacted)"</formula1>
    </dataValidation>
    <dataValidation sqref="F4:F50 G4:G50" showDropDown="0" showInputMessage="0" showErrorMessage="0" allowBlank="0" type="list">
      <formula1>"Unaware,Aware,Understanding,Buy-in,Committed,Advocating"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8" topLeftCell="I1" activePane="topRight" state="frozen"/>
      <selection pane="topRigh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14" customWidth="1" min="5" max="5"/>
    <col width="12" customWidth="1" min="6" max="6"/>
    <col width="10" customWidth="1" min="7" max="7"/>
    <col width="25" customWidth="1" min="9" max="9"/>
  </cols>
  <sheetData>
    <row r="1">
      <c r="A1" s="9" t="inlineStr">
        <is>
          <t>Communication Plan</t>
        </is>
      </c>
      <c r="I1" s="2" t="inlineStr">
        <is>
          <t>INSTRUCTIONS</t>
        </is>
      </c>
    </row>
    <row r="2">
      <c r="I2" s="4" t="inlineStr">
        <is>
          <t>Plan communications</t>
        </is>
      </c>
    </row>
    <row r="3">
      <c r="A3" s="6" t="inlineStr">
        <is>
          <t>ID</t>
        </is>
      </c>
      <c r="B3" s="6" t="inlineStr">
        <is>
          <t>Message/Topic</t>
        </is>
      </c>
      <c r="C3" s="6" t="inlineStr">
        <is>
          <t>Audience</t>
        </is>
      </c>
      <c r="D3" s="6" t="inlineStr">
        <is>
          <t>Channel</t>
        </is>
      </c>
      <c r="E3" s="6" t="inlineStr">
        <is>
          <t>Sender</t>
        </is>
      </c>
      <c r="F3" s="6" t="inlineStr">
        <is>
          <t>Date</t>
        </is>
      </c>
      <c r="G3" s="6" t="inlineStr">
        <is>
          <t>Status</t>
        </is>
      </c>
      <c r="I3" s="4" t="inlineStr"/>
    </row>
    <row r="4">
      <c r="A4" s="7" t="inlineStr">
        <is>
          <t>C001</t>
        </is>
      </c>
      <c r="B4" s="7" t="inlineStr">
        <is>
          <t>Change Announcement</t>
        </is>
      </c>
      <c r="C4" s="7" t="inlineStr">
        <is>
          <t>All Employees</t>
        </is>
      </c>
      <c r="D4" s="7" t="inlineStr">
        <is>
          <t>Town Hall</t>
        </is>
      </c>
      <c r="E4" s="7" t="inlineStr">
        <is>
          <t>Exec Sponsor</t>
        </is>
      </c>
      <c r="F4" s="7" t="inlineStr"/>
      <c r="G4" s="7" t="inlineStr">
        <is>
          <t>Planned</t>
        </is>
      </c>
      <c r="I4" s="4" t="inlineStr">
        <is>
          <t>THE 5 RIGHTS:</t>
        </is>
      </c>
    </row>
    <row r="5">
      <c r="A5" s="7" t="inlineStr">
        <is>
          <t>C002</t>
        </is>
      </c>
      <c r="B5" s="7" t="inlineStr">
        <is>
          <t>Leadership Briefing</t>
        </is>
      </c>
      <c r="C5" s="7" t="inlineStr">
        <is>
          <t>Senior Leaders</t>
        </is>
      </c>
      <c r="D5" s="7" t="inlineStr">
        <is>
          <t>Meeting</t>
        </is>
      </c>
      <c r="E5" s="7" t="inlineStr">
        <is>
          <t>Project Sponsor</t>
        </is>
      </c>
      <c r="F5" s="7" t="inlineStr"/>
      <c r="G5" s="7" t="inlineStr">
        <is>
          <t>Planned</t>
        </is>
      </c>
      <c r="I5" s="4" t="inlineStr">
        <is>
          <t>• Right Message</t>
        </is>
      </c>
    </row>
    <row r="6">
      <c r="A6" s="7" t="inlineStr">
        <is>
          <t>C003</t>
        </is>
      </c>
      <c r="B6" s="7" t="inlineStr">
        <is>
          <t>Manager Toolkit</t>
        </is>
      </c>
      <c r="C6" s="7" t="inlineStr">
        <is>
          <t>Managers</t>
        </is>
      </c>
      <c r="D6" s="7" t="inlineStr">
        <is>
          <t>Email+Portal</t>
        </is>
      </c>
      <c r="E6" s="7" t="inlineStr">
        <is>
          <t>OCM Lead</t>
        </is>
      </c>
      <c r="F6" s="7" t="inlineStr"/>
      <c r="G6" s="7" t="inlineStr">
        <is>
          <t>Planned</t>
        </is>
      </c>
      <c r="I6" s="4" t="inlineStr">
        <is>
          <t>• Right Audience</t>
        </is>
      </c>
    </row>
    <row r="7">
      <c r="A7" s="7" t="inlineStr">
        <is>
          <t>C004</t>
        </is>
      </c>
      <c r="B7" s="7" t="inlineStr">
        <is>
          <t>Progress Updates</t>
        </is>
      </c>
      <c r="C7" s="7" t="inlineStr">
        <is>
          <t>All Stakeholders</t>
        </is>
      </c>
      <c r="D7" s="7" t="inlineStr">
        <is>
          <t>Newsletter</t>
        </is>
      </c>
      <c r="E7" s="7" t="inlineStr">
        <is>
          <t>PM</t>
        </is>
      </c>
      <c r="F7" s="7" t="inlineStr"/>
      <c r="G7" s="7" t="inlineStr">
        <is>
          <t>Planned</t>
        </is>
      </c>
      <c r="I7" s="4" t="inlineStr">
        <is>
          <t>• Right Channel</t>
        </is>
      </c>
    </row>
    <row r="8">
      <c r="A8" s="7" t="inlineStr">
        <is>
          <t>C005</t>
        </is>
      </c>
      <c r="B8" s="7" t="n"/>
      <c r="C8" s="7" t="n"/>
      <c r="D8" s="7" t="n"/>
      <c r="E8" s="7" t="n"/>
      <c r="F8" s="7" t="n"/>
      <c r="G8" s="7" t="n"/>
      <c r="I8" s="4" t="inlineStr">
        <is>
          <t>• Right Time</t>
        </is>
      </c>
    </row>
    <row r="9">
      <c r="A9" s="7" t="inlineStr">
        <is>
          <t>C006</t>
        </is>
      </c>
      <c r="B9" s="7" t="n"/>
      <c r="C9" s="7" t="n"/>
      <c r="D9" s="7" t="n"/>
      <c r="E9" s="7" t="n"/>
      <c r="F9" s="7" t="n"/>
      <c r="G9" s="7" t="n"/>
      <c r="I9" s="4" t="inlineStr">
        <is>
          <t>• Right Sender</t>
        </is>
      </c>
    </row>
    <row r="10">
      <c r="A10" s="7" t="inlineStr">
        <is>
          <t>C007</t>
        </is>
      </c>
      <c r="B10" s="7" t="n"/>
      <c r="C10" s="7" t="n"/>
      <c r="D10" s="7" t="n"/>
      <c r="E10" s="7" t="n"/>
      <c r="F10" s="7" t="n"/>
      <c r="G10" s="7" t="n"/>
    </row>
    <row r="11">
      <c r="A11" s="7" t="inlineStr">
        <is>
          <t>C008</t>
        </is>
      </c>
      <c r="B11" s="7" t="n"/>
      <c r="C11" s="7" t="n"/>
      <c r="D11" s="7" t="n"/>
      <c r="E11" s="7" t="n"/>
      <c r="F11" s="7" t="n"/>
      <c r="G11" s="7" t="n"/>
    </row>
    <row r="12">
      <c r="A12" s="7" t="inlineStr">
        <is>
          <t>C009</t>
        </is>
      </c>
      <c r="B12" s="7" t="n"/>
      <c r="C12" s="7" t="n"/>
      <c r="D12" s="7" t="n"/>
      <c r="E12" s="7" t="n"/>
      <c r="F12" s="7" t="n"/>
      <c r="G12" s="7" t="n"/>
    </row>
    <row r="13">
      <c r="A13" s="7" t="inlineStr">
        <is>
          <t>C010</t>
        </is>
      </c>
      <c r="B13" s="7" t="n"/>
      <c r="C13" s="7" t="n"/>
      <c r="D13" s="7" t="n"/>
      <c r="E13" s="7" t="n"/>
      <c r="F13" s="7" t="n"/>
      <c r="G13" s="7" t="n"/>
    </row>
    <row r="14">
      <c r="A14" s="7" t="inlineStr">
        <is>
          <t>C011</t>
        </is>
      </c>
      <c r="B14" s="7" t="n"/>
      <c r="C14" s="7" t="n"/>
      <c r="D14" s="7" t="n"/>
      <c r="E14" s="7" t="n"/>
      <c r="F14" s="7" t="n"/>
      <c r="G14" s="7" t="n"/>
    </row>
    <row r="15">
      <c r="A15" s="7" t="inlineStr">
        <is>
          <t>C012</t>
        </is>
      </c>
      <c r="B15" s="7" t="n"/>
      <c r="C15" s="7" t="n"/>
      <c r="D15" s="7" t="n"/>
      <c r="E15" s="7" t="n"/>
      <c r="F15" s="7" t="n"/>
      <c r="G15" s="7" t="n"/>
    </row>
    <row r="16">
      <c r="A16" s="7" t="inlineStr">
        <is>
          <t>C013</t>
        </is>
      </c>
      <c r="B16" s="7" t="n"/>
      <c r="C16" s="7" t="n"/>
      <c r="D16" s="7" t="n"/>
      <c r="E16" s="7" t="n"/>
      <c r="F16" s="7" t="n"/>
      <c r="G16" s="7" t="n"/>
    </row>
    <row r="17">
      <c r="A17" s="7" t="inlineStr">
        <is>
          <t>C014</t>
        </is>
      </c>
      <c r="B17" s="7" t="n"/>
      <c r="C17" s="7" t="n"/>
      <c r="D17" s="7" t="n"/>
      <c r="E17" s="7" t="n"/>
      <c r="F17" s="7" t="n"/>
      <c r="G17" s="7" t="n"/>
    </row>
    <row r="18">
      <c r="A18" s="7" t="inlineStr">
        <is>
          <t>C015</t>
        </is>
      </c>
      <c r="B18" s="7" t="n"/>
      <c r="C18" s="7" t="n"/>
      <c r="D18" s="7" t="n"/>
      <c r="E18" s="7" t="n"/>
      <c r="F18" s="7" t="n"/>
      <c r="G18" s="7" t="n"/>
    </row>
    <row r="19">
      <c r="A19" s="7" t="inlineStr">
        <is>
          <t>C016</t>
        </is>
      </c>
      <c r="B19" s="7" t="n"/>
      <c r="C19" s="7" t="n"/>
      <c r="D19" s="7" t="n"/>
      <c r="E19" s="7" t="n"/>
      <c r="F19" s="7" t="n"/>
      <c r="G19" s="7" t="n"/>
    </row>
    <row r="20">
      <c r="A20" s="7" t="inlineStr">
        <is>
          <t>C017</t>
        </is>
      </c>
      <c r="B20" s="7" t="n"/>
      <c r="C20" s="7" t="n"/>
      <c r="D20" s="7" t="n"/>
      <c r="E20" s="7" t="n"/>
      <c r="F20" s="7" t="n"/>
      <c r="G20" s="7" t="n"/>
    </row>
    <row r="21">
      <c r="A21" s="7" t="inlineStr">
        <is>
          <t>C018</t>
        </is>
      </c>
      <c r="B21" s="7" t="n"/>
      <c r="C21" s="7" t="n"/>
      <c r="D21" s="7" t="n"/>
      <c r="E21" s="7" t="n"/>
      <c r="F21" s="7" t="n"/>
      <c r="G21" s="7" t="n"/>
    </row>
    <row r="22">
      <c r="A22" s="7" t="inlineStr">
        <is>
          <t>C019</t>
        </is>
      </c>
      <c r="B22" s="7" t="n"/>
      <c r="C22" s="7" t="n"/>
      <c r="D22" s="7" t="n"/>
      <c r="E22" s="7" t="n"/>
      <c r="F22" s="7" t="n"/>
      <c r="G22" s="7" t="n"/>
    </row>
    <row r="23">
      <c r="A23" s="7" t="inlineStr">
        <is>
          <t>C020</t>
        </is>
      </c>
      <c r="B23" s="7" t="n"/>
      <c r="C23" s="7" t="n"/>
      <c r="D23" s="7" t="n"/>
      <c r="E23" s="7" t="n"/>
      <c r="F23" s="7" t="n"/>
      <c r="G23" s="7" t="n"/>
    </row>
    <row r="24">
      <c r="A24" s="7" t="inlineStr">
        <is>
          <t>C021</t>
        </is>
      </c>
      <c r="B24" s="7" t="n"/>
      <c r="C24" s="7" t="n"/>
      <c r="D24" s="7" t="n"/>
      <c r="E24" s="7" t="n"/>
      <c r="F24" s="7" t="n"/>
      <c r="G24" s="7" t="n"/>
    </row>
    <row r="25">
      <c r="A25" s="7" t="inlineStr">
        <is>
          <t>C022</t>
        </is>
      </c>
      <c r="B25" s="7" t="n"/>
      <c r="C25" s="7" t="n"/>
      <c r="D25" s="7" t="n"/>
      <c r="E25" s="7" t="n"/>
      <c r="F25" s="7" t="n"/>
      <c r="G25" s="7" t="n"/>
    </row>
    <row r="26">
      <c r="A26" s="7" t="inlineStr">
        <is>
          <t>C023</t>
        </is>
      </c>
      <c r="B26" s="7" t="n"/>
      <c r="C26" s="7" t="n"/>
      <c r="D26" s="7" t="n"/>
      <c r="E26" s="7" t="n"/>
      <c r="F26" s="7" t="n"/>
      <c r="G26" s="7" t="n"/>
    </row>
    <row r="27">
      <c r="A27" s="7" t="inlineStr">
        <is>
          <t>C024</t>
        </is>
      </c>
      <c r="B27" s="7" t="n"/>
      <c r="C27" s="7" t="n"/>
      <c r="D27" s="7" t="n"/>
      <c r="E27" s="7" t="n"/>
      <c r="F27" s="7" t="n"/>
      <c r="G27" s="7" t="n"/>
    </row>
  </sheetData>
  <dataValidations count="2">
    <dataValidation sqref="D4:D50" showDropDown="0" showInputMessage="0" showErrorMessage="0" allowBlank="0" type="list">
      <formula1>"Email,Town Hall,Team Meeting,Portal,Newsletter,Video,Poster,1:1"</formula1>
    </dataValidation>
    <dataValidation sqref="G4:G50" showDropDown="0" showInputMessage="0" showErrorMessage="0" allowBlank="0" type="list">
      <formula1>"Planned,In Progress,Complete,Cancelled"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0" topLeftCell="K1" activePane="topRight" state="frozen"/>
      <selection pane="top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22" customWidth="1" min="11" max="11"/>
  </cols>
  <sheetData>
    <row r="1">
      <c r="A1" s="9" t="inlineStr">
        <is>
          <t>Training Plan</t>
        </is>
      </c>
      <c r="K1" s="2" t="inlineStr">
        <is>
          <t>INSTRUCTIONS</t>
        </is>
      </c>
    </row>
    <row r="2">
      <c r="K2" s="4" t="inlineStr">
        <is>
          <t>Plan training by role</t>
        </is>
      </c>
    </row>
    <row r="3">
      <c r="A3" s="6" t="inlineStr">
        <is>
          <t>ID</t>
        </is>
      </c>
      <c r="B3" s="6" t="inlineStr">
        <is>
          <t>Course</t>
        </is>
      </c>
      <c r="C3" s="6" t="inlineStr">
        <is>
          <t>Audience</t>
        </is>
      </c>
      <c r="D3" s="6" t="inlineStr">
        <is>
          <t>Format</t>
        </is>
      </c>
      <c r="E3" s="6" t="inlineStr">
        <is>
          <t>Duration</t>
        </is>
      </c>
      <c r="F3" s="6" t="inlineStr">
        <is>
          <t>Date</t>
        </is>
      </c>
      <c r="G3" s="6" t="inlineStr">
        <is>
          <t>Enrolled</t>
        </is>
      </c>
      <c r="H3" s="6" t="inlineStr">
        <is>
          <t>Complete</t>
        </is>
      </c>
      <c r="I3" s="6" t="inlineStr">
        <is>
          <t>Status</t>
        </is>
      </c>
      <c r="K3" s="4" t="inlineStr"/>
    </row>
    <row r="4">
      <c r="A4" s="7" t="inlineStr">
        <is>
          <t>T001</t>
        </is>
      </c>
      <c r="B4" s="7" t="inlineStr">
        <is>
          <t>Change Overview</t>
        </is>
      </c>
      <c r="C4" s="7" t="inlineStr">
        <is>
          <t>Leaders</t>
        </is>
      </c>
      <c r="D4" s="7" t="inlineStr">
        <is>
          <t>Workshop</t>
        </is>
      </c>
      <c r="E4" s="7" t="inlineStr">
        <is>
          <t>2 hrs</t>
        </is>
      </c>
      <c r="F4" s="7" t="inlineStr"/>
      <c r="G4" s="7" t="inlineStr"/>
      <c r="H4" s="7" t="inlineStr"/>
      <c r="I4" s="7" t="inlineStr">
        <is>
          <t>Planned</t>
        </is>
      </c>
      <c r="K4" s="4" t="inlineStr">
        <is>
          <t>FORMATS:</t>
        </is>
      </c>
    </row>
    <row r="5">
      <c r="A5" s="7" t="inlineStr">
        <is>
          <t>T002</t>
        </is>
      </c>
      <c r="B5" s="7" t="inlineStr">
        <is>
          <t>System Basics</t>
        </is>
      </c>
      <c r="C5" s="7" t="inlineStr">
        <is>
          <t>End Users</t>
        </is>
      </c>
      <c r="D5" s="7" t="inlineStr">
        <is>
          <t>eLearning</t>
        </is>
      </c>
      <c r="E5" s="7" t="inlineStr">
        <is>
          <t>1 hr</t>
        </is>
      </c>
      <c r="F5" s="7" t="inlineStr"/>
      <c r="G5" s="7" t="inlineStr"/>
      <c r="H5" s="7" t="inlineStr"/>
      <c r="I5" s="7" t="inlineStr">
        <is>
          <t>Planned</t>
        </is>
      </c>
      <c r="K5" s="4" t="inlineStr">
        <is>
          <t>• eLearning</t>
        </is>
      </c>
    </row>
    <row r="6">
      <c r="A6" s="7" t="inlineStr">
        <is>
          <t>T003</t>
        </is>
      </c>
      <c r="B6" s="7" t="inlineStr">
        <is>
          <t>Advanced Features</t>
        </is>
      </c>
      <c r="C6" s="7" t="inlineStr">
        <is>
          <t>Power Users</t>
        </is>
      </c>
      <c r="D6" s="7" t="inlineStr">
        <is>
          <t>Lab</t>
        </is>
      </c>
      <c r="E6" s="7" t="inlineStr">
        <is>
          <t>4 hrs</t>
        </is>
      </c>
      <c r="F6" s="7" t="inlineStr"/>
      <c r="G6" s="7" t="inlineStr"/>
      <c r="H6" s="7" t="inlineStr"/>
      <c r="I6" s="7" t="inlineStr">
        <is>
          <t>Planned</t>
        </is>
      </c>
      <c r="K6" s="4" t="inlineStr">
        <is>
          <t>• Workshop</t>
        </is>
      </c>
    </row>
    <row r="7">
      <c r="A7" s="7" t="inlineStr">
        <is>
          <t>T004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K7" s="4" t="inlineStr">
        <is>
          <t>• Lab (hands-on)</t>
        </is>
      </c>
    </row>
    <row r="8">
      <c r="A8" s="7" t="inlineStr">
        <is>
          <t>T005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K8" s="4" t="inlineStr">
        <is>
          <t>• Coaching (1:1)</t>
        </is>
      </c>
    </row>
    <row r="9">
      <c r="A9" s="7" t="inlineStr">
        <is>
          <t>T006</t>
        </is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inlineStr">
        <is>
          <t>T007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inlineStr">
        <is>
          <t>T008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inlineStr">
        <is>
          <t>T009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inlineStr">
        <is>
          <t>T010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inlineStr">
        <is>
          <t>T011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inlineStr">
        <is>
          <t>T012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inlineStr">
        <is>
          <t>T013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inlineStr">
        <is>
          <t>T014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inlineStr">
        <is>
          <t>T015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inlineStr">
        <is>
          <t>T016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inlineStr">
        <is>
          <t>T017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inlineStr">
        <is>
          <t>T018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inlineStr">
        <is>
          <t>T019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inlineStr">
        <is>
          <t>T020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inlineStr">
        <is>
          <t>T021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inlineStr">
        <is>
          <t>T022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inlineStr">
        <is>
          <t>T023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</row>
  </sheetData>
  <dataValidations count="2">
    <dataValidation sqref="D4:D50" showDropDown="0" showInputMessage="0" showErrorMessage="0" allowBlank="0" type="list">
      <formula1>"eLearning,Workshop,Lab,Coaching,On-the-job"</formula1>
    </dataValidation>
    <dataValidation sqref="I4:I50" showDropDown="0" showInputMessage="0" showErrorMessage="0" allowBlank="0" type="list">
      <formula1>"Planned,Scheduled,In Progress,Complete,Cancelled"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8" topLeftCell="I1" activePane="topRight" state="frozen"/>
      <selection pane="topRigh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10" customWidth="1" min="4" max="4"/>
    <col width="10" customWidth="1" min="5" max="5"/>
    <col width="15" customWidth="1" min="6" max="6"/>
    <col width="10" customWidth="1" min="7" max="7"/>
    <col width="22" customWidth="1" min="9" max="9"/>
  </cols>
  <sheetData>
    <row r="1">
      <c r="A1" s="9" t="inlineStr">
        <is>
          <t>Sponsorship Tracker</t>
        </is>
      </c>
      <c r="I1" s="2" t="inlineStr">
        <is>
          <t>INSTRUCTIONS</t>
        </is>
      </c>
    </row>
    <row r="2">
      <c r="I2" s="4" t="inlineStr">
        <is>
          <t>Track sponsor activities</t>
        </is>
      </c>
    </row>
    <row r="3">
      <c r="A3" s="6" t="inlineStr">
        <is>
          <t>Sponsor</t>
        </is>
      </c>
      <c r="B3" s="6" t="inlineStr">
        <is>
          <t>Level</t>
        </is>
      </c>
      <c r="C3" s="6" t="inlineStr">
        <is>
          <t>Activity</t>
        </is>
      </c>
      <c r="D3" s="6" t="inlineStr">
        <is>
          <t>Target</t>
        </is>
      </c>
      <c r="E3" s="6" t="inlineStr">
        <is>
          <t>Actual</t>
        </is>
      </c>
      <c r="F3" s="6" t="inlineStr">
        <is>
          <t>Audience</t>
        </is>
      </c>
      <c r="G3" s="6" t="inlineStr">
        <is>
          <t>Effect (1-5)</t>
        </is>
      </c>
      <c r="I3" s="4" t="inlineStr"/>
    </row>
    <row r="4">
      <c r="A4" s="7" t="n"/>
      <c r="B4" s="7" t="n"/>
      <c r="C4" s="7" t="n"/>
      <c r="D4" s="7" t="n"/>
      <c r="E4" s="7" t="n"/>
      <c r="F4" s="7" t="n"/>
      <c r="G4" s="7" t="n"/>
      <c r="I4" s="4" t="inlineStr">
        <is>
          <t>LEVELS:</t>
        </is>
      </c>
    </row>
    <row r="5">
      <c r="A5" s="7" t="n"/>
      <c r="B5" s="7" t="n"/>
      <c r="C5" s="7" t="n"/>
      <c r="D5" s="7" t="n"/>
      <c r="E5" s="7" t="n"/>
      <c r="F5" s="7" t="n"/>
      <c r="G5" s="7" t="n"/>
      <c r="I5" s="4" t="inlineStr">
        <is>
          <t>Primary = Exec owner</t>
        </is>
      </c>
    </row>
    <row r="6">
      <c r="A6" s="7" t="n"/>
      <c r="B6" s="7" t="n"/>
      <c r="C6" s="7" t="n"/>
      <c r="D6" s="7" t="n"/>
      <c r="E6" s="7" t="n"/>
      <c r="F6" s="7" t="n"/>
      <c r="G6" s="7" t="n"/>
      <c r="I6" s="4" t="inlineStr">
        <is>
          <t>Sustaining = BU leaders</t>
        </is>
      </c>
    </row>
    <row r="7">
      <c r="A7" s="7" t="n"/>
      <c r="B7" s="7" t="n"/>
      <c r="C7" s="7" t="n"/>
      <c r="D7" s="7" t="n"/>
      <c r="E7" s="7" t="n"/>
      <c r="F7" s="7" t="n"/>
      <c r="G7" s="7" t="n"/>
      <c r="I7" s="4" t="inlineStr">
        <is>
          <t>Local = Dept managers</t>
        </is>
      </c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</sheetData>
  <dataValidations count="2">
    <dataValidation sqref="B4:B50" showDropDown="0" showInputMessage="0" showErrorMessage="0" allowBlank="0" type="list">
      <formula1>"Primary,Sustaining,Local,Coalition"</formula1>
    </dataValidation>
    <dataValidation sqref="G4:G50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0" topLeftCell="K1" activePane="topRight" state="frozen"/>
      <selection pane="topRight"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10" customWidth="1" min="4" max="4"/>
    <col width="12" customWidth="1" min="5" max="5"/>
    <col width="10" customWidth="1" min="6" max="6"/>
    <col width="25" customWidth="1" min="7" max="7"/>
    <col width="10" customWidth="1" min="8" max="8"/>
    <col width="16" customWidth="1" min="9" max="9"/>
    <col width="22" customWidth="1" min="11" max="11"/>
  </cols>
  <sheetData>
    <row r="1">
      <c r="A1" s="9" t="inlineStr">
        <is>
          <t>Resistance Log</t>
        </is>
      </c>
      <c r="K1" s="2" t="inlineStr">
        <is>
          <t>INSTRUCTIONS</t>
        </is>
      </c>
    </row>
    <row r="2">
      <c r="K2" s="4" t="inlineStr">
        <is>
          <t>Track resistance</t>
        </is>
      </c>
    </row>
    <row r="3">
      <c r="A3" s="6" t="inlineStr">
        <is>
          <t>ID</t>
        </is>
      </c>
      <c r="B3" s="6" t="inlineStr">
        <is>
          <t>Date</t>
        </is>
      </c>
      <c r="C3" s="6" t="inlineStr">
        <is>
          <t>Source</t>
        </is>
      </c>
      <c r="D3" s="6" t="inlineStr">
        <is>
          <t>Type</t>
        </is>
      </c>
      <c r="E3" s="6" t="inlineStr">
        <is>
          <t>ADKAR Gap</t>
        </is>
      </c>
      <c r="F3" s="6" t="inlineStr">
        <is>
          <t>Severity</t>
        </is>
      </c>
      <c r="G3" s="6" t="inlineStr">
        <is>
          <t>Mitigation</t>
        </is>
      </c>
      <c r="H3" s="6" t="inlineStr">
        <is>
          <t>Owner</t>
        </is>
      </c>
      <c r="I3" s="6" t="inlineStr">
        <is>
          <t>Status</t>
        </is>
      </c>
      <c r="K3" s="4" t="inlineStr"/>
    </row>
    <row r="4">
      <c r="A4" s="7" t="inlineStr">
        <is>
          <t>R001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K4" s="4" t="inlineStr">
        <is>
          <t>TYPES:</t>
        </is>
      </c>
    </row>
    <row r="5">
      <c r="A5" s="7" t="inlineStr">
        <is>
          <t>R002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K5" s="4" t="inlineStr">
        <is>
          <t>Active = Vocal</t>
        </is>
      </c>
    </row>
    <row r="6">
      <c r="A6" s="7" t="inlineStr">
        <is>
          <t>R003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K6" s="4" t="inlineStr">
        <is>
          <t>Passive = Silent</t>
        </is>
      </c>
    </row>
    <row r="7">
      <c r="A7" s="7" t="inlineStr">
        <is>
          <t>R004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K7" s="4" t="inlineStr">
        <is>
          <t>Compliance = Motions</t>
        </is>
      </c>
    </row>
    <row r="8">
      <c r="A8" s="7" t="inlineStr">
        <is>
          <t>R005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K8" s="4" t="inlineStr"/>
    </row>
    <row r="9">
      <c r="A9" s="7" t="inlineStr">
        <is>
          <t>R006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K9" s="4" t="inlineStr">
        <is>
          <t>Link to ADKAR gap</t>
        </is>
      </c>
    </row>
    <row r="10">
      <c r="A10" s="7" t="inlineStr">
        <is>
          <t>R007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inlineStr">
        <is>
          <t>R008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inlineStr">
        <is>
          <t>R009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inlineStr">
        <is>
          <t>R010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inlineStr">
        <is>
          <t>R011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inlineStr">
        <is>
          <t>R012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inlineStr">
        <is>
          <t>R013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inlineStr">
        <is>
          <t>R014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inlineStr">
        <is>
          <t>R015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inlineStr">
        <is>
          <t>R016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inlineStr">
        <is>
          <t>R017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inlineStr">
        <is>
          <t>R018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inlineStr">
        <is>
          <t>R019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inlineStr">
        <is>
          <t>R020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inlineStr">
        <is>
          <t>R021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inlineStr">
        <is>
          <t>R022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inlineStr">
        <is>
          <t>R023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inlineStr">
        <is>
          <t>R024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inlineStr">
        <is>
          <t>R025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</row>
  </sheetData>
  <dataValidations count="4">
    <dataValidation sqref="D4:D50" showDropDown="0" showInputMessage="0" showErrorMessage="0" allowBlank="0" type="list">
      <formula1>"Active,Passive,Compliance"</formula1>
    </dataValidation>
    <dataValidation sqref="E4:E50" showDropDown="0" showInputMessage="0" showErrorMessage="0" allowBlank="0" type="list">
      <formula1>"Awareness,Desire,Knowledge,Ability,Reinforcement"</formula1>
    </dataValidation>
    <dataValidation sqref="F4:F50" showDropDown="0" showInputMessage="0" showErrorMessage="0" allowBlank="0" type="list">
      <formula1>"High,Medium,Low"</formula1>
    </dataValidation>
    <dataValidation sqref="I4:I50" showDropDown="0" showInputMessage="0" showErrorMessage="0" allowBlank="0" type="list">
      <formula1>"New,Under Investigation,Mitigation In Progress,Resolved,Escalated"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6" topLeftCell="G1" activePane="topRight" state="frozen"/>
      <selection pane="top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7" max="7"/>
  </cols>
  <sheetData>
    <row r="1">
      <c r="A1" s="9" t="inlineStr">
        <is>
          <t>KPI Dashboard</t>
        </is>
      </c>
      <c r="G1" s="2" t="inlineStr">
        <is>
          <t>INSTRUCTIONS</t>
        </is>
      </c>
    </row>
    <row r="2">
      <c r="G2" s="4" t="inlineStr">
        <is>
          <t>Track 6 key metrics</t>
        </is>
      </c>
    </row>
    <row r="3">
      <c r="A3" s="6" t="inlineStr">
        <is>
          <t>KPI</t>
        </is>
      </c>
      <c r="B3" s="6" t="inlineStr">
        <is>
          <t>Target</t>
        </is>
      </c>
      <c r="C3" s="6" t="inlineStr">
        <is>
          <t>Baseline</t>
        </is>
      </c>
      <c r="D3" s="6" t="inlineStr">
        <is>
          <t>Current</t>
        </is>
      </c>
      <c r="E3" s="6" t="inlineStr">
        <is>
          <t>Status</t>
        </is>
      </c>
      <c r="G3" s="4" t="inlineStr"/>
    </row>
    <row r="4">
      <c r="A4" s="7" t="inlineStr">
        <is>
          <t>Awareness Level</t>
        </is>
      </c>
      <c r="B4" s="7" t="inlineStr">
        <is>
          <t>100%</t>
        </is>
      </c>
      <c r="C4" s="7" t="inlineStr"/>
      <c r="D4" s="7" t="inlineStr"/>
      <c r="E4" s="7">
        <f>IF(D4="","",IF(D4&gt;=C4,"On Track","Gap"))</f>
        <v/>
      </c>
      <c r="G4" s="4" t="inlineStr">
        <is>
          <t>Enter Baseline at start</t>
        </is>
      </c>
    </row>
    <row r="5">
      <c r="A5" s="7" t="inlineStr">
        <is>
          <t>Adoption Rate</t>
        </is>
      </c>
      <c r="B5" s="7" t="inlineStr">
        <is>
          <t>85%</t>
        </is>
      </c>
      <c r="C5" s="7" t="inlineStr"/>
      <c r="D5" s="7" t="inlineStr"/>
      <c r="E5" s="7">
        <f>IF(D5="","",IF(D5&gt;=C5,"On Track","Gap"))</f>
        <v/>
      </c>
      <c r="G5" s="4" t="inlineStr">
        <is>
          <t>Update Current regularly</t>
        </is>
      </c>
    </row>
    <row r="6">
      <c r="A6" s="7" t="inlineStr">
        <is>
          <t>Proficiency Level</t>
        </is>
      </c>
      <c r="B6" s="7" t="inlineStr">
        <is>
          <t>80%</t>
        </is>
      </c>
      <c r="C6" s="7" t="inlineStr"/>
      <c r="D6" s="7" t="inlineStr"/>
      <c r="E6" s="7">
        <f>IF(D6="","",IF(D6&gt;=C6,"On Track","Gap"))</f>
        <v/>
      </c>
      <c r="G6" s="4" t="inlineStr"/>
    </row>
    <row r="7">
      <c r="A7" s="7" t="inlineStr">
        <is>
          <t>Resistance Level</t>
        </is>
      </c>
      <c r="B7" s="7" t="inlineStr">
        <is>
          <t>10%</t>
        </is>
      </c>
      <c r="C7" s="7" t="inlineStr"/>
      <c r="D7" s="7" t="inlineStr"/>
      <c r="E7" s="7">
        <f>IF(D7="","",IF(D7&lt;=C7,"On Track","Gap"))</f>
        <v/>
      </c>
      <c r="G7" s="4" t="inlineStr">
        <is>
          <t>Status auto-calculates</t>
        </is>
      </c>
    </row>
    <row r="8">
      <c r="A8" s="7" t="inlineStr">
        <is>
          <t>Sponsor Engagement</t>
        </is>
      </c>
      <c r="B8" s="7" t="inlineStr">
        <is>
          <t>4</t>
        </is>
      </c>
      <c r="C8" s="7" t="inlineStr"/>
      <c r="D8" s="7" t="inlineStr"/>
      <c r="E8" s="7">
        <f>IF(D8="","",IF(D8&gt;=C8,"On Track","Gap"))</f>
        <v/>
      </c>
    </row>
    <row r="9">
      <c r="A9" s="7" t="inlineStr">
        <is>
          <t>Sustainment Rate</t>
        </is>
      </c>
      <c r="B9" s="7" t="inlineStr">
        <is>
          <t>90%</t>
        </is>
      </c>
      <c r="C9" s="7" t="inlineStr"/>
      <c r="D9" s="7" t="inlineStr"/>
      <c r="E9" s="7">
        <f>IF(D9="","",IF(D9&gt;=C9,"On Track","Gap"))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5" topLeftCell="F1" activePane="topRight" state="frozen"/>
      <selection pane="top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8" customWidth="1" min="4" max="4"/>
    <col width="22" customWidth="1" min="6" max="6"/>
  </cols>
  <sheetData>
    <row r="1">
      <c r="A1" s="9" t="inlineStr">
        <is>
          <t>Maturity Assessment</t>
        </is>
      </c>
      <c r="F1" s="2" t="inlineStr">
        <is>
          <t>INSTRUCTIONS</t>
        </is>
      </c>
    </row>
    <row r="2">
      <c r="F2" s="4" t="inlineStr">
        <is>
          <t>Rate maturity 1-5</t>
        </is>
      </c>
    </row>
    <row r="3">
      <c r="A3" s="6" t="inlineStr">
        <is>
          <t>Dimension</t>
        </is>
      </c>
      <c r="B3" s="6" t="inlineStr">
        <is>
          <t>Current (1-5)</t>
        </is>
      </c>
      <c r="C3" s="6" t="inlineStr">
        <is>
          <t>Target (1-5)</t>
        </is>
      </c>
      <c r="D3" s="6" t="inlineStr">
        <is>
          <t>Gap</t>
        </is>
      </c>
      <c r="F3" s="4" t="inlineStr"/>
    </row>
    <row r="4">
      <c r="A4" s="7" t="inlineStr">
        <is>
          <t>Leadership &amp; Sponsorship</t>
        </is>
      </c>
      <c r="B4" s="7" t="n"/>
      <c r="C4" s="7" t="n"/>
      <c r="D4" s="7">
        <f>IF(OR(B4="",C4=""),"",C4-B4)</f>
        <v/>
      </c>
      <c r="F4" s="4" t="inlineStr">
        <is>
          <t>1 = Ad-hoc</t>
        </is>
      </c>
    </row>
    <row r="5">
      <c r="A5" s="7" t="inlineStr">
        <is>
          <t>Stakeholder Engagement</t>
        </is>
      </c>
      <c r="B5" s="7" t="n"/>
      <c r="C5" s="7" t="n"/>
      <c r="D5" s="7">
        <f>IF(OR(B5="",C5=""),"",C5-B5)</f>
        <v/>
      </c>
      <c r="F5" s="4" t="inlineStr">
        <is>
          <t>2 = Emerging</t>
        </is>
      </c>
    </row>
    <row r="6">
      <c r="A6" s="7" t="inlineStr">
        <is>
          <t>Communication</t>
        </is>
      </c>
      <c r="B6" s="7" t="n"/>
      <c r="C6" s="7" t="n"/>
      <c r="D6" s="7">
        <f>IF(OR(B6="",C6=""),"",C6-B6)</f>
        <v/>
      </c>
      <c r="F6" s="4" t="inlineStr">
        <is>
          <t>3 = Defined</t>
        </is>
      </c>
    </row>
    <row r="7">
      <c r="A7" s="7" t="inlineStr">
        <is>
          <t>Training &amp; Development</t>
        </is>
      </c>
      <c r="B7" s="7" t="n"/>
      <c r="C7" s="7" t="n"/>
      <c r="D7" s="7">
        <f>IF(OR(B7="",C7=""),"",C7-B7)</f>
        <v/>
      </c>
      <c r="F7" s="4" t="inlineStr">
        <is>
          <t>4 = Managed</t>
        </is>
      </c>
    </row>
    <row r="8">
      <c r="A8" s="7" t="inlineStr">
        <is>
          <t>Resistance Management</t>
        </is>
      </c>
      <c r="B8" s="7" t="n"/>
      <c r="C8" s="7" t="n"/>
      <c r="D8" s="7">
        <f>IF(OR(B8="",C8=""),"",C8-B8)</f>
        <v/>
      </c>
      <c r="F8" s="4" t="inlineStr">
        <is>
          <t>5 = Optimized</t>
        </is>
      </c>
    </row>
    <row r="9">
      <c r="A9" s="7" t="inlineStr">
        <is>
          <t>Measurement &amp; Analytics</t>
        </is>
      </c>
      <c r="B9" s="7" t="n"/>
      <c r="C9" s="7" t="n"/>
      <c r="D9" s="7">
        <f>IF(OR(B9="",C9=""),"",C9-B9)</f>
        <v/>
      </c>
      <c r="F9" s="4" t="inlineStr"/>
    </row>
    <row r="10">
      <c r="A10" s="7" t="inlineStr">
        <is>
          <t>Process Integration</t>
        </is>
      </c>
      <c r="B10" s="7" t="n"/>
      <c r="C10" s="7" t="n"/>
      <c r="D10" s="7">
        <f>IF(OR(B10="",C10=""),"",C10-B10)</f>
        <v/>
      </c>
      <c r="F10" s="4" t="inlineStr">
        <is>
          <t>Gap = Target - Current</t>
        </is>
      </c>
    </row>
    <row r="11">
      <c r="A11" s="7" t="inlineStr">
        <is>
          <t>Change Agent Network</t>
        </is>
      </c>
      <c r="B11" s="7" t="n"/>
      <c r="C11" s="7" t="n"/>
      <c r="D11" s="7">
        <f>IF(OR(B11="",C11=""),"",C11-B11)</f>
        <v/>
      </c>
    </row>
    <row r="13">
      <c r="A13" s="14" t="inlineStr">
        <is>
          <t>Average:</t>
        </is>
      </c>
      <c r="B13" s="7">
        <f>AVERAGE(B4:B11)</f>
        <v/>
      </c>
      <c r="C13" s="7">
        <f>AVERAGE(C4:C11)</f>
        <v/>
      </c>
      <c r="D13" s="7">
        <f>C12-B12</f>
        <v/>
      </c>
    </row>
  </sheetData>
  <dataValidations count="1">
    <dataValidation sqref="B4:C11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5" topLeftCell="F1" activePane="topRight" state="frozen"/>
      <selection pane="top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35" customWidth="1" min="4" max="4"/>
    <col width="22" customWidth="1" min="6" max="6"/>
  </cols>
  <sheetData>
    <row r="1">
      <c r="A1" s="9" t="inlineStr">
        <is>
          <t>CSF Checklist</t>
        </is>
      </c>
      <c r="F1" s="2" t="inlineStr">
        <is>
          <t>INSTRUCTIONS</t>
        </is>
      </c>
    </row>
    <row r="2">
      <c r="F2" s="4" t="inlineStr">
        <is>
          <t>Rate each CSF 1-5</t>
        </is>
      </c>
    </row>
    <row r="3">
      <c r="A3" s="6" t="inlineStr">
        <is>
          <t>#</t>
        </is>
      </c>
      <c r="B3" s="6" t="inlineStr">
        <is>
          <t>Critical Success Factor</t>
        </is>
      </c>
      <c r="C3" s="6" t="inlineStr">
        <is>
          <t>Rating (1-5)</t>
        </is>
      </c>
      <c r="D3" s="6" t="inlineStr">
        <is>
          <t>Evidence/Notes</t>
        </is>
      </c>
      <c r="F3" s="4" t="inlineStr"/>
    </row>
    <row r="4">
      <c r="A4" s="7" t="inlineStr">
        <is>
          <t>1</t>
        </is>
      </c>
      <c r="B4" s="7" t="inlineStr">
        <is>
          <t>Executive Sponsorship</t>
        </is>
      </c>
      <c r="C4" s="7" t="n"/>
      <c r="D4" s="7" t="n"/>
      <c r="F4" s="4" t="inlineStr">
        <is>
          <t>1 = Not addressed</t>
        </is>
      </c>
    </row>
    <row r="5">
      <c r="A5" s="7" t="inlineStr">
        <is>
          <t>2</t>
        </is>
      </c>
      <c r="B5" s="7" t="inlineStr">
        <is>
          <t>Clear Vision &amp; Case</t>
        </is>
      </c>
      <c r="C5" s="7" t="n"/>
      <c r="D5" s="7" t="n"/>
      <c r="F5" s="4" t="inlineStr">
        <is>
          <t>2 = Minimal</t>
        </is>
      </c>
    </row>
    <row r="6">
      <c r="A6" s="7" t="inlineStr">
        <is>
          <t>3</t>
        </is>
      </c>
      <c r="B6" s="7" t="inlineStr">
        <is>
          <t>Stakeholder Engagement</t>
        </is>
      </c>
      <c r="C6" s="7" t="n"/>
      <c r="D6" s="7" t="n"/>
      <c r="F6" s="4" t="inlineStr">
        <is>
          <t>3 = Partial</t>
        </is>
      </c>
    </row>
    <row r="7">
      <c r="A7" s="7" t="inlineStr">
        <is>
          <t>4</t>
        </is>
      </c>
      <c r="B7" s="7" t="inlineStr">
        <is>
          <t>Effective Communication</t>
        </is>
      </c>
      <c r="C7" s="7" t="n"/>
      <c r="D7" s="7" t="n"/>
      <c r="F7" s="4" t="inlineStr">
        <is>
          <t>4 = Well done</t>
        </is>
      </c>
    </row>
    <row r="8">
      <c r="A8" s="7" t="inlineStr">
        <is>
          <t>5</t>
        </is>
      </c>
      <c r="B8" s="7" t="inlineStr">
        <is>
          <t>Training &amp; Capability</t>
        </is>
      </c>
      <c r="C8" s="7" t="n"/>
      <c r="D8" s="7" t="n"/>
      <c r="F8" s="4" t="inlineStr">
        <is>
          <t>5 = Best practice</t>
        </is>
      </c>
    </row>
    <row r="9">
      <c r="A9" s="7" t="inlineStr">
        <is>
          <t>6</t>
        </is>
      </c>
      <c r="B9" s="7" t="inlineStr">
        <is>
          <t>Change Agent Network</t>
        </is>
      </c>
      <c r="C9" s="7" t="n"/>
      <c r="D9" s="7" t="n"/>
      <c r="F9" s="4" t="inlineStr"/>
    </row>
    <row r="10">
      <c r="A10" s="7" t="inlineStr">
        <is>
          <t>7</t>
        </is>
      </c>
      <c r="B10" s="7" t="inlineStr">
        <is>
          <t>Resistance Management</t>
        </is>
      </c>
      <c r="C10" s="7" t="n"/>
      <c r="D10" s="7" t="n"/>
      <c r="F10" s="4" t="inlineStr">
        <is>
          <t>Avg 4+ = Strong</t>
        </is>
      </c>
    </row>
    <row r="11">
      <c r="A11" s="7" t="inlineStr">
        <is>
          <t>8</t>
        </is>
      </c>
      <c r="B11" s="7" t="inlineStr">
        <is>
          <t>Measurement &amp; Reinforcement</t>
        </is>
      </c>
      <c r="C11" s="7" t="n"/>
      <c r="D11" s="7" t="n"/>
      <c r="F11" s="4" t="inlineStr">
        <is>
          <t>Avg &lt;3 = At Risk</t>
        </is>
      </c>
    </row>
    <row r="13">
      <c r="A13" s="14" t="inlineStr">
        <is>
          <t>Average:</t>
        </is>
      </c>
      <c r="B13" s="7" t="inlineStr"/>
      <c r="C13" s="7">
        <f>AVERAGE(C4:C11)</f>
        <v/>
      </c>
    </row>
  </sheetData>
  <dataValidations count="1">
    <dataValidation sqref="C4:C11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0" topLeftCell="K1" activePane="topRight" state="frozen"/>
      <selection pane="topRigh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" customWidth="1" min="4" max="4"/>
    <col width="8" customWidth="1" min="5" max="5"/>
    <col width="8" customWidth="1" min="6" max="6"/>
    <col width="25" customWidth="1" min="7" max="7"/>
    <col width="10" customWidth="1" min="8" max="8"/>
    <col width="12" customWidth="1" min="9" max="9"/>
    <col width="20" customWidth="1" min="11" max="11"/>
  </cols>
  <sheetData>
    <row r="1">
      <c r="A1" s="9" t="inlineStr">
        <is>
          <t>Risk Register</t>
        </is>
      </c>
      <c r="K1" s="2" t="inlineStr">
        <is>
          <t>INSTRUCTIONS</t>
        </is>
      </c>
    </row>
    <row r="2">
      <c r="K2" s="4" t="inlineStr">
        <is>
          <t>Score = L × I</t>
        </is>
      </c>
    </row>
    <row r="3">
      <c r="A3" s="6" t="inlineStr">
        <is>
          <t>ID</t>
        </is>
      </c>
      <c r="B3" s="6" t="inlineStr">
        <is>
          <t>Risk Description</t>
        </is>
      </c>
      <c r="C3" s="6" t="inlineStr">
        <is>
          <t>Category</t>
        </is>
      </c>
      <c r="D3" s="6" t="inlineStr">
        <is>
          <t>L (1-5)</t>
        </is>
      </c>
      <c r="E3" s="6" t="inlineStr">
        <is>
          <t>I (1-5)</t>
        </is>
      </c>
      <c r="F3" s="6" t="inlineStr">
        <is>
          <t>Score</t>
        </is>
      </c>
      <c r="G3" s="6" t="inlineStr">
        <is>
          <t>Mitigation</t>
        </is>
      </c>
      <c r="H3" s="6" t="inlineStr">
        <is>
          <t>Owner</t>
        </is>
      </c>
      <c r="I3" s="6" t="inlineStr">
        <is>
          <t>Status</t>
        </is>
      </c>
      <c r="K3" s="4" t="inlineStr"/>
    </row>
    <row r="4">
      <c r="A4" s="7" t="inlineStr">
        <is>
          <t>R001</t>
        </is>
      </c>
      <c r="B4" s="7" t="n"/>
      <c r="C4" s="7" t="n"/>
      <c r="D4" s="7" t="n"/>
      <c r="E4" s="7" t="n"/>
      <c r="F4" s="7">
        <f>IF(OR(D4="",E4=""),"",D4*E4)</f>
        <v/>
      </c>
      <c r="G4" s="7" t="n"/>
      <c r="H4" s="7" t="n"/>
      <c r="I4" s="7" t="n"/>
      <c r="K4" s="4" t="inlineStr">
        <is>
          <t>1-6 = Low</t>
        </is>
      </c>
    </row>
    <row r="5">
      <c r="A5" s="7" t="inlineStr">
        <is>
          <t>R002</t>
        </is>
      </c>
      <c r="B5" s="7" t="n"/>
      <c r="C5" s="7" t="n"/>
      <c r="D5" s="7" t="n"/>
      <c r="E5" s="7" t="n"/>
      <c r="F5" s="7">
        <f>IF(OR(D5="",E5=""),"",D5*E5)</f>
        <v/>
      </c>
      <c r="G5" s="7" t="n"/>
      <c r="H5" s="7" t="n"/>
      <c r="I5" s="7" t="n"/>
      <c r="K5" s="4" t="inlineStr">
        <is>
          <t>7-14 = Medium</t>
        </is>
      </c>
    </row>
    <row r="6">
      <c r="A6" s="7" t="inlineStr">
        <is>
          <t>R003</t>
        </is>
      </c>
      <c r="B6" s="7" t="n"/>
      <c r="C6" s="7" t="n"/>
      <c r="D6" s="7" t="n"/>
      <c r="E6" s="7" t="n"/>
      <c r="F6" s="7">
        <f>IF(OR(D6="",E6=""),"",D6*E6)</f>
        <v/>
      </c>
      <c r="G6" s="7" t="n"/>
      <c r="H6" s="7" t="n"/>
      <c r="I6" s="7" t="n"/>
      <c r="K6" s="4" t="inlineStr">
        <is>
          <t>15-25 = High</t>
        </is>
      </c>
    </row>
    <row r="7">
      <c r="A7" s="7" t="inlineStr">
        <is>
          <t>R004</t>
        </is>
      </c>
      <c r="B7" s="7" t="n"/>
      <c r="C7" s="7" t="n"/>
      <c r="D7" s="7" t="n"/>
      <c r="E7" s="7" t="n"/>
      <c r="F7" s="7">
        <f>IF(OR(D7="",E7=""),"",D7*E7)</f>
        <v/>
      </c>
      <c r="G7" s="7" t="n"/>
      <c r="H7" s="7" t="n"/>
      <c r="I7" s="7" t="n"/>
      <c r="K7" s="4" t="inlineStr"/>
    </row>
    <row r="8">
      <c r="A8" s="7" t="inlineStr">
        <is>
          <t>R005</t>
        </is>
      </c>
      <c r="B8" s="7" t="n"/>
      <c r="C8" s="7" t="n"/>
      <c r="D8" s="7" t="n"/>
      <c r="E8" s="7" t="n"/>
      <c r="F8" s="7">
        <f>IF(OR(D8="",E8=""),"",D8*E8)</f>
        <v/>
      </c>
      <c r="G8" s="7" t="n"/>
      <c r="H8" s="7" t="n"/>
      <c r="I8" s="7" t="n"/>
      <c r="K8" s="4" t="inlineStr">
        <is>
          <t>L = Likelihood</t>
        </is>
      </c>
    </row>
    <row r="9">
      <c r="A9" s="7" t="inlineStr">
        <is>
          <t>R006</t>
        </is>
      </c>
      <c r="B9" s="7" t="n"/>
      <c r="C9" s="7" t="n"/>
      <c r="D9" s="7" t="n"/>
      <c r="E9" s="7" t="n"/>
      <c r="F9" s="7">
        <f>IF(OR(D9="",E9=""),"",D9*E9)</f>
        <v/>
      </c>
      <c r="G9" s="7" t="n"/>
      <c r="H9" s="7" t="n"/>
      <c r="I9" s="7" t="n"/>
      <c r="K9" s="4" t="inlineStr">
        <is>
          <t>I = Impact</t>
        </is>
      </c>
    </row>
    <row r="10">
      <c r="A10" s="7" t="inlineStr">
        <is>
          <t>R007</t>
        </is>
      </c>
      <c r="B10" s="7" t="n"/>
      <c r="C10" s="7" t="n"/>
      <c r="D10" s="7" t="n"/>
      <c r="E10" s="7" t="n"/>
      <c r="F10" s="7">
        <f>IF(OR(D10="",E10=""),"",D10*E10)</f>
        <v/>
      </c>
      <c r="G10" s="7" t="n"/>
      <c r="H10" s="7" t="n"/>
      <c r="I10" s="7" t="n"/>
    </row>
    <row r="11">
      <c r="A11" s="7" t="inlineStr">
        <is>
          <t>R008</t>
        </is>
      </c>
      <c r="B11" s="7" t="n"/>
      <c r="C11" s="7" t="n"/>
      <c r="D11" s="7" t="n"/>
      <c r="E11" s="7" t="n"/>
      <c r="F11" s="7">
        <f>IF(OR(D11="",E11=""),"",D11*E11)</f>
        <v/>
      </c>
      <c r="G11" s="7" t="n"/>
      <c r="H11" s="7" t="n"/>
      <c r="I11" s="7" t="n"/>
    </row>
    <row r="12">
      <c r="A12" s="7" t="inlineStr">
        <is>
          <t>R009</t>
        </is>
      </c>
      <c r="B12" s="7" t="n"/>
      <c r="C12" s="7" t="n"/>
      <c r="D12" s="7" t="n"/>
      <c r="E12" s="7" t="n"/>
      <c r="F12" s="7">
        <f>IF(OR(D12="",E12=""),"",D12*E12)</f>
        <v/>
      </c>
      <c r="G12" s="7" t="n"/>
      <c r="H12" s="7" t="n"/>
      <c r="I12" s="7" t="n"/>
    </row>
    <row r="13">
      <c r="A13" s="7" t="inlineStr">
        <is>
          <t>R010</t>
        </is>
      </c>
      <c r="B13" s="7" t="n"/>
      <c r="C13" s="7" t="n"/>
      <c r="D13" s="7" t="n"/>
      <c r="E13" s="7" t="n"/>
      <c r="F13" s="7">
        <f>IF(OR(D13="",E13=""),"",D13*E13)</f>
        <v/>
      </c>
      <c r="G13" s="7" t="n"/>
      <c r="H13" s="7" t="n"/>
      <c r="I13" s="7" t="n"/>
    </row>
    <row r="14">
      <c r="A14" s="7" t="inlineStr">
        <is>
          <t>R011</t>
        </is>
      </c>
      <c r="B14" s="7" t="n"/>
      <c r="C14" s="7" t="n"/>
      <c r="D14" s="7" t="n"/>
      <c r="E14" s="7" t="n"/>
      <c r="F14" s="7">
        <f>IF(OR(D14="",E14=""),"",D14*E14)</f>
        <v/>
      </c>
      <c r="G14" s="7" t="n"/>
      <c r="H14" s="7" t="n"/>
      <c r="I14" s="7" t="n"/>
    </row>
    <row r="15">
      <c r="A15" s="7" t="inlineStr">
        <is>
          <t>R012</t>
        </is>
      </c>
      <c r="B15" s="7" t="n"/>
      <c r="C15" s="7" t="n"/>
      <c r="D15" s="7" t="n"/>
      <c r="E15" s="7" t="n"/>
      <c r="F15" s="7">
        <f>IF(OR(D15="",E15=""),"",D15*E15)</f>
        <v/>
      </c>
      <c r="G15" s="7" t="n"/>
      <c r="H15" s="7" t="n"/>
      <c r="I15" s="7" t="n"/>
    </row>
    <row r="16">
      <c r="A16" s="7" t="inlineStr">
        <is>
          <t>R013</t>
        </is>
      </c>
      <c r="B16" s="7" t="n"/>
      <c r="C16" s="7" t="n"/>
      <c r="D16" s="7" t="n"/>
      <c r="E16" s="7" t="n"/>
      <c r="F16" s="7">
        <f>IF(OR(D16="",E16=""),"",D16*E16)</f>
        <v/>
      </c>
      <c r="G16" s="7" t="n"/>
      <c r="H16" s="7" t="n"/>
      <c r="I16" s="7" t="n"/>
    </row>
    <row r="17">
      <c r="A17" s="7" t="inlineStr">
        <is>
          <t>R014</t>
        </is>
      </c>
      <c r="B17" s="7" t="n"/>
      <c r="C17" s="7" t="n"/>
      <c r="D17" s="7" t="n"/>
      <c r="E17" s="7" t="n"/>
      <c r="F17" s="7">
        <f>IF(OR(D17="",E17=""),"",D17*E17)</f>
        <v/>
      </c>
      <c r="G17" s="7" t="n"/>
      <c r="H17" s="7" t="n"/>
      <c r="I17" s="7" t="n"/>
    </row>
    <row r="18">
      <c r="A18" s="7" t="inlineStr">
        <is>
          <t>R015</t>
        </is>
      </c>
      <c r="B18" s="7" t="n"/>
      <c r="C18" s="7" t="n"/>
      <c r="D18" s="7" t="n"/>
      <c r="E18" s="7" t="n"/>
      <c r="F18" s="7">
        <f>IF(OR(D18="",E18=""),"",D18*E18)</f>
        <v/>
      </c>
      <c r="G18" s="7" t="n"/>
      <c r="H18" s="7" t="n"/>
      <c r="I18" s="7" t="n"/>
    </row>
    <row r="19">
      <c r="A19" s="7" t="inlineStr">
        <is>
          <t>R016</t>
        </is>
      </c>
      <c r="B19" s="7" t="n"/>
      <c r="C19" s="7" t="n"/>
      <c r="D19" s="7" t="n"/>
      <c r="E19" s="7" t="n"/>
      <c r="F19" s="7">
        <f>IF(OR(D19="",E19=""),"",D19*E19)</f>
        <v/>
      </c>
      <c r="G19" s="7" t="n"/>
      <c r="H19" s="7" t="n"/>
      <c r="I19" s="7" t="n"/>
    </row>
    <row r="20">
      <c r="A20" s="7" t="inlineStr">
        <is>
          <t>R017</t>
        </is>
      </c>
      <c r="B20" s="7" t="n"/>
      <c r="C20" s="7" t="n"/>
      <c r="D20" s="7" t="n"/>
      <c r="E20" s="7" t="n"/>
      <c r="F20" s="7">
        <f>IF(OR(D20="",E20=""),"",D20*E20)</f>
        <v/>
      </c>
      <c r="G20" s="7" t="n"/>
      <c r="H20" s="7" t="n"/>
      <c r="I20" s="7" t="n"/>
    </row>
    <row r="21">
      <c r="A21" s="7" t="inlineStr">
        <is>
          <t>R018</t>
        </is>
      </c>
      <c r="B21" s="7" t="n"/>
      <c r="C21" s="7" t="n"/>
      <c r="D21" s="7" t="n"/>
      <c r="E21" s="7" t="n"/>
      <c r="F21" s="7">
        <f>IF(OR(D21="",E21=""),"",D21*E21)</f>
        <v/>
      </c>
      <c r="G21" s="7" t="n"/>
      <c r="H21" s="7" t="n"/>
      <c r="I21" s="7" t="n"/>
    </row>
    <row r="22">
      <c r="A22" s="7" t="inlineStr">
        <is>
          <t>R019</t>
        </is>
      </c>
      <c r="B22" s="7" t="n"/>
      <c r="C22" s="7" t="n"/>
      <c r="D22" s="7" t="n"/>
      <c r="E22" s="7" t="n"/>
      <c r="F22" s="7">
        <f>IF(OR(D22="",E22=""),"",D22*E22)</f>
        <v/>
      </c>
      <c r="G22" s="7" t="n"/>
      <c r="H22" s="7" t="n"/>
      <c r="I22" s="7" t="n"/>
    </row>
    <row r="23">
      <c r="A23" s="7" t="inlineStr">
        <is>
          <t>R020</t>
        </is>
      </c>
      <c r="B23" s="7" t="n"/>
      <c r="C23" s="7" t="n"/>
      <c r="D23" s="7" t="n"/>
      <c r="E23" s="7" t="n"/>
      <c r="F23" s="7">
        <f>IF(OR(D23="",E23=""),"",D23*E23)</f>
        <v/>
      </c>
      <c r="G23" s="7" t="n"/>
      <c r="H23" s="7" t="n"/>
      <c r="I23" s="7" t="n"/>
    </row>
  </sheetData>
  <dataValidations count="3">
    <dataValidation sqref="C4:C50" showDropDown="0" showInputMessage="0" showErrorMessage="0" allowBlank="0" type="list">
      <formula1>"Sponsorship,Communication,Training,Resistance,Resources,Timeline,Capacity"</formula1>
    </dataValidation>
    <dataValidation sqref="D4:D50 E4:E50" showDropDown="0" showInputMessage="0" showErrorMessage="0" allowBlank="0" type="list">
      <formula1>"1,2,3,4,5"</formula1>
    </dataValidation>
    <dataValidation sqref="I4:I50" showDropDown="0" showInputMessage="0" showErrorMessage="0" allowBlank="0" type="list">
      <formula1>"Open,In Progress,Mitigated,Closed"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9" topLeftCell="J1" activePane="topRight" state="frozen"/>
      <selection pane="topRigh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28" customWidth="1" min="5" max="5"/>
    <col width="28" customWidth="1" min="6" max="6"/>
    <col width="10" customWidth="1" min="7" max="7"/>
    <col width="12" customWidth="1" min="8" max="8"/>
    <col width="22" customWidth="1" min="10" max="10"/>
  </cols>
  <sheetData>
    <row r="1">
      <c r="A1" s="9" t="inlineStr">
        <is>
          <t>Change Impact</t>
        </is>
      </c>
      <c r="J1" s="2" t="inlineStr">
        <is>
          <t>INSTRUCTIONS</t>
        </is>
      </c>
    </row>
    <row r="2">
      <c r="J2" s="4" t="inlineStr">
        <is>
          <t>Document impacts</t>
        </is>
      </c>
    </row>
    <row r="3">
      <c r="A3" s="6" t="inlineStr">
        <is>
          <t>ID</t>
        </is>
      </c>
      <c r="B3" s="6" t="inlineStr">
        <is>
          <t>Group</t>
        </is>
      </c>
      <c r="C3" s="6" t="inlineStr">
        <is>
          <t>Impact Type</t>
        </is>
      </c>
      <c r="D3" s="6" t="inlineStr">
        <is>
          <t>Severity</t>
        </is>
      </c>
      <c r="E3" s="6" t="inlineStr">
        <is>
          <t>Description</t>
        </is>
      </c>
      <c r="F3" s="6" t="inlineStr">
        <is>
          <t>Mitigation</t>
        </is>
      </c>
      <c r="G3" s="6" t="inlineStr">
        <is>
          <t>Owner</t>
        </is>
      </c>
      <c r="H3" s="6" t="inlineStr">
        <is>
          <t>Status</t>
        </is>
      </c>
      <c r="J3" s="4" t="inlineStr"/>
    </row>
    <row r="4">
      <c r="A4" s="7" t="inlineStr">
        <is>
          <t>IMP001</t>
        </is>
      </c>
      <c r="B4" s="7" t="n"/>
      <c r="C4" s="7" t="n"/>
      <c r="D4" s="7" t="n"/>
      <c r="E4" s="7" t="n"/>
      <c r="F4" s="7" t="n"/>
      <c r="G4" s="7" t="n"/>
      <c r="H4" s="7" t="n"/>
      <c r="J4" s="4" t="inlineStr">
        <is>
          <t>TYPES:</t>
        </is>
      </c>
    </row>
    <row r="5">
      <c r="A5" s="7" t="inlineStr">
        <is>
          <t>IMP002</t>
        </is>
      </c>
      <c r="B5" s="7" t="n"/>
      <c r="C5" s="7" t="n"/>
      <c r="D5" s="7" t="n"/>
      <c r="E5" s="7" t="n"/>
      <c r="F5" s="7" t="n"/>
      <c r="G5" s="7" t="n"/>
      <c r="H5" s="7" t="n"/>
      <c r="J5" s="4" t="inlineStr">
        <is>
          <t>Process, Technology,</t>
        </is>
      </c>
    </row>
    <row r="6">
      <c r="A6" s="7" t="inlineStr">
        <is>
          <t>IMP003</t>
        </is>
      </c>
      <c r="B6" s="7" t="n"/>
      <c r="C6" s="7" t="n"/>
      <c r="D6" s="7" t="n"/>
      <c r="E6" s="7" t="n"/>
      <c r="F6" s="7" t="n"/>
      <c r="G6" s="7" t="n"/>
      <c r="H6" s="7" t="n"/>
      <c r="J6" s="4" t="inlineStr">
        <is>
          <t>Role, Skills, Culture</t>
        </is>
      </c>
    </row>
    <row r="7">
      <c r="A7" s="7" t="inlineStr">
        <is>
          <t>IMP004</t>
        </is>
      </c>
      <c r="B7" s="7" t="n"/>
      <c r="C7" s="7" t="n"/>
      <c r="D7" s="7" t="n"/>
      <c r="E7" s="7" t="n"/>
      <c r="F7" s="7" t="n"/>
      <c r="G7" s="7" t="n"/>
      <c r="H7" s="7" t="n"/>
      <c r="J7" s="4" t="inlineStr"/>
    </row>
    <row r="8">
      <c r="A8" s="7" t="inlineStr">
        <is>
          <t>IMP005</t>
        </is>
      </c>
      <c r="B8" s="7" t="n"/>
      <c r="C8" s="7" t="n"/>
      <c r="D8" s="7" t="n"/>
      <c r="E8" s="7" t="n"/>
      <c r="F8" s="7" t="n"/>
      <c r="G8" s="7" t="n"/>
      <c r="H8" s="7" t="n"/>
      <c r="J8" s="4" t="inlineStr">
        <is>
          <t>SEVERITY:</t>
        </is>
      </c>
    </row>
    <row r="9">
      <c r="A9" s="7" t="inlineStr">
        <is>
          <t>IMP006</t>
        </is>
      </c>
      <c r="B9" s="7" t="n"/>
      <c r="C9" s="7" t="n"/>
      <c r="D9" s="7" t="n"/>
      <c r="E9" s="7" t="n"/>
      <c r="F9" s="7" t="n"/>
      <c r="G9" s="7" t="n"/>
      <c r="H9" s="7" t="n"/>
      <c r="J9" s="4" t="inlineStr">
        <is>
          <t>High = Major change</t>
        </is>
      </c>
    </row>
    <row r="10">
      <c r="A10" s="7" t="inlineStr">
        <is>
          <t>IMP007</t>
        </is>
      </c>
      <c r="B10" s="7" t="n"/>
      <c r="C10" s="7" t="n"/>
      <c r="D10" s="7" t="n"/>
      <c r="E10" s="7" t="n"/>
      <c r="F10" s="7" t="n"/>
      <c r="G10" s="7" t="n"/>
      <c r="H10" s="7" t="n"/>
      <c r="J10" s="4" t="inlineStr">
        <is>
          <t>Low = Minor adjust</t>
        </is>
      </c>
    </row>
    <row r="11">
      <c r="A11" s="7" t="inlineStr">
        <is>
          <t>IMP008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7" t="inlineStr">
        <is>
          <t>IMP009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7" t="inlineStr">
        <is>
          <t>IMP010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7" t="inlineStr">
        <is>
          <t>IMP011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7" t="inlineStr">
        <is>
          <t>IMP012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7" t="inlineStr">
        <is>
          <t>IMP013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7" t="inlineStr">
        <is>
          <t>IMP014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7" t="inlineStr">
        <is>
          <t>IMP015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7" t="inlineStr">
        <is>
          <t>IMP016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7" t="inlineStr">
        <is>
          <t>IMP017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7" t="inlineStr">
        <is>
          <t>IMP018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7" t="inlineStr">
        <is>
          <t>IMP019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7" t="inlineStr">
        <is>
          <t>IMP020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7" t="inlineStr">
        <is>
          <t>IMP021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7" t="inlineStr">
        <is>
          <t>IMP022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7" t="inlineStr">
        <is>
          <t>IMP023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7" t="inlineStr">
        <is>
          <t>IMP024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7" t="inlineStr">
        <is>
          <t>IMP025</t>
        </is>
      </c>
      <c r="B28" s="7" t="n"/>
      <c r="C28" s="7" t="n"/>
      <c r="D28" s="7" t="n"/>
      <c r="E28" s="7" t="n"/>
      <c r="F28" s="7" t="n"/>
      <c r="G28" s="7" t="n"/>
      <c r="H28" s="7" t="n"/>
    </row>
  </sheetData>
  <dataValidations count="3">
    <dataValidation sqref="C4:C50" showDropDown="0" showInputMessage="0" showErrorMessage="0" allowBlank="0" type="list">
      <formula1>"Process,Technology,Role,Skills,Culture,Workload"</formula1>
    </dataValidation>
    <dataValidation sqref="D4:D50" showDropDown="0" showInputMessage="0" showErrorMessage="0" allowBlank="0" type="list">
      <formula1>"High,Medium,Low"</formula1>
    </dataValidation>
    <dataValidation sqref="H4:H50" showDropDown="0" showInputMessage="0" showErrorMessage="0" allowBlank="0" type="list">
      <formula1>"Identified,Analyzed,Mitigating,Closed"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2025-12-04T07:48:57Z</dcterms:created>
  <dcterms:modified xsi:type="dcterms:W3CDTF">2025-12-04T07:48:57Z</dcterms:modified>
</cp:coreProperties>
</file>