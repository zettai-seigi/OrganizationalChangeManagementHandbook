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mplementation Roadmap" sheetId="2" state="visible" r:id="rId2"/>
    <sheet name="ADKAR Assessment" sheetId="3" state="visible" r:id="rId3"/>
    <sheet name="Stakeholder Analysis" sheetId="4" state="visible" r:id="rId4"/>
    <sheet name="Communication Plan" sheetId="5" state="visible" r:id="rId5"/>
    <sheet name="Training Plan" sheetId="6" state="visible" r:id="rId6"/>
    <sheet name="Sponsorship Tracker" sheetId="7" state="visible" r:id="rId7"/>
    <sheet name="Resistance Log" sheetId="8" state="visible" r:id="rId8"/>
    <sheet name="KPI Dashboard" sheetId="9" state="visible" r:id="rId9"/>
    <sheet name="Maturity Assessment" sheetId="10" state="visible" r:id="rId10"/>
    <sheet name="CSF Checklist" sheetId="11" state="visible" r:id="rId11"/>
    <sheet name="Risk Register" sheetId="12" state="visible" r:id="rId12"/>
    <sheet name="Change Impact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2E75B6"/>
      <sz val="20"/>
    </font>
    <font>
      <i val="1"/>
      <color rgb="00666666"/>
      <sz val="10"/>
    </font>
    <font>
      <b val="1"/>
      <color rgb="002E75B6"/>
      <sz val="14"/>
    </font>
    <font>
      <b val="1"/>
      <color rgb="00FFFFFF"/>
      <sz val="12"/>
    </font>
    <font>
      <b val="1"/>
      <color rgb="00FFFFFF"/>
      <sz val="11"/>
    </font>
    <font>
      <b val="1"/>
      <color rgb="002E75B6"/>
      <sz val="11"/>
    </font>
  </fonts>
  <fills count="6">
    <fill>
      <patternFill/>
    </fill>
    <fill>
      <patternFill patternType="gray125"/>
    </fill>
    <fill>
      <patternFill patternType="solid">
        <fgColor rgb="002E75B6"/>
        <bgColor rgb="002E75B6"/>
      </patternFill>
    </fill>
    <fill>
      <patternFill patternType="solid">
        <fgColor rgb="00FFF2CC"/>
        <bgColor rgb="00FFF2CC"/>
      </patternFill>
    </fill>
    <fill>
      <patternFill patternType="solid">
        <fgColor rgb="00DDEBF7"/>
        <bgColor rgb="00DDEBF7"/>
      </patternFill>
    </fill>
    <fill>
      <patternFill patternType="solid">
        <fgColor rgb="00E2EFDA"/>
        <bgColor rgb="00E2EFDA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3" fillId="3" borderId="0" pivotButton="0" quotePrefix="0" xfId="0"/>
    <xf numFmtId="0" fontId="2" fillId="0" borderId="0" pivotButton="0" quotePrefix="0" xfId="0"/>
    <xf numFmtId="0" fontId="0" fillId="3" borderId="0" applyAlignment="1" pivotButton="0" quotePrefix="0" xfId="0">
      <alignment vertical="top" wrapText="1"/>
    </xf>
    <xf numFmtId="0" fontId="4" fillId="2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9" fontId="0" fillId="0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vertical="top" wrapText="1"/>
    </xf>
    <xf numFmtId="0" fontId="6" fillId="4" borderId="0" pivotButton="0" quotePrefix="0" xfId="0"/>
    <xf numFmtId="0" fontId="0" fillId="4" borderId="0" applyAlignment="1" pivotButton="0" quotePrefix="0" xfId="0">
      <alignment vertical="top" wrapText="1"/>
    </xf>
    <xf numFmtId="0" fontId="6" fillId="5" borderId="0" pivotButton="0" quotePrefix="0" xfId="0"/>
    <xf numFmtId="0" fontId="0" fillId="5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3"/>
  <sheetViews>
    <sheetView workbookViewId="0">
      <pane xSplit="8" topLeftCell="I1" activePane="topRight" state="frozen"/>
      <selection pane="topRight"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20" customWidth="1" min="5" max="5"/>
    <col width="12" customWidth="1" min="6" max="6"/>
    <col width="15" customWidth="1" min="7" max="7"/>
    <col width="40" customWidth="1" min="9" max="9"/>
  </cols>
  <sheetData>
    <row r="1">
      <c r="A1" s="1" t="inlineStr">
        <is>
          <t>OCM Implementation Dashboard</t>
        </is>
      </c>
      <c r="I1" s="2" t="inlineStr">
        <is>
          <t>DASHBOARD GUIDE</t>
        </is>
      </c>
    </row>
    <row r="2">
      <c r="A2" s="3" t="inlineStr">
        <is>
          <t>Auto-populated from worksheet data - Update source sheets to refresh</t>
        </is>
      </c>
      <c r="I2" s="4" t="inlineStr">
        <is>
          <t>This dashboard auto-populates from other worksheets.</t>
        </is>
      </c>
    </row>
    <row r="3">
      <c r="I3" s="4" t="inlineStr">
        <is>
          <t>Update data in source sheets to refresh metrics.</t>
        </is>
      </c>
    </row>
    <row r="4">
      <c r="A4" s="5" t="inlineStr">
        <is>
          <t>OVERALL OCM HEALTH</t>
        </is>
      </c>
      <c r="E4" s="5" t="inlineStr">
        <is>
          <t>KPI SUMMARY</t>
        </is>
      </c>
      <c r="I4" s="4" t="inlineStr"/>
    </row>
    <row r="5">
      <c r="A5" s="6" t="inlineStr">
        <is>
          <t>Metric</t>
        </is>
      </c>
      <c r="B5" s="6" t="inlineStr">
        <is>
          <t>Score</t>
        </is>
      </c>
      <c r="C5" s="6" t="inlineStr">
        <is>
          <t>Status</t>
        </is>
      </c>
      <c r="E5" s="6" t="inlineStr">
        <is>
          <t>KPI</t>
        </is>
      </c>
      <c r="F5" s="6" t="inlineStr">
        <is>
          <t>Latest</t>
        </is>
      </c>
      <c r="G5" s="6" t="inlineStr">
        <is>
          <t>Target</t>
        </is>
      </c>
      <c r="I5" s="4" t="inlineStr">
        <is>
          <t>COLOR CODING:</t>
        </is>
      </c>
    </row>
    <row r="6">
      <c r="A6" s="7" t="inlineStr">
        <is>
          <t>CSF Average Score</t>
        </is>
      </c>
      <c r="B6" s="7">
        <f>'CSF Checklist'!B30</f>
        <v/>
      </c>
      <c r="C6" s="7">
        <f>IF(B6="","",IF(B6&gt;=4,"● On Track",IF(B6&gt;=3,"◐ Monitor","○ At Risk")))</f>
        <v/>
      </c>
      <c r="E6" s="7" t="inlineStr">
        <is>
          <t>Awareness Level</t>
        </is>
      </c>
      <c r="F6" s="7">
        <f>'KPI Dashboard'!I17</f>
        <v/>
      </c>
      <c r="G6" s="7">
        <f>'KPI Dashboard'!J17</f>
        <v/>
      </c>
      <c r="I6" s="4" t="inlineStr">
        <is>
          <t>● On Track = Green (score ≥4 or ≥80%)</t>
        </is>
      </c>
    </row>
    <row r="7">
      <c r="A7" s="7" t="inlineStr">
        <is>
          <t>Maturity Score</t>
        </is>
      </c>
      <c r="B7" s="7">
        <f>'Maturity Assessment'!B26</f>
        <v/>
      </c>
      <c r="C7" s="7">
        <f>IF(B7="","",IF(B7&gt;=4,"● On Track",IF(B7&gt;=3,"◐ Monitor","○ At Risk")))</f>
        <v/>
      </c>
      <c r="E7" s="7" t="inlineStr">
        <is>
          <t>Adoption Rate</t>
        </is>
      </c>
      <c r="F7" s="7">
        <f>'KPI Dashboard'!I18</f>
        <v/>
      </c>
      <c r="G7" s="7">
        <f>'KPI Dashboard'!J18</f>
        <v/>
      </c>
      <c r="I7" s="4" t="inlineStr">
        <is>
          <t>◐ Monitor = Yellow (score 3-4 or 60-80%)</t>
        </is>
      </c>
    </row>
    <row r="8">
      <c r="A8" s="7" t="inlineStr">
        <is>
          <t>KPI Health</t>
        </is>
      </c>
      <c r="B8" s="7">
        <f>COUNTIF('KPI Dashboard'!B17:I22,"&gt;="&amp;'KPI Dashboard'!J17:J22)/COUNTA('KPI Dashboard'!B17:I22)*100</f>
        <v/>
      </c>
      <c r="C8" s="7">
        <f>IF(B8="","",IF(B8&gt;=80,"● On Track",IF(B8&gt;=60,"◐ Monitor","○ At Risk")))</f>
        <v/>
      </c>
      <c r="E8" s="7" t="inlineStr">
        <is>
          <t>Proficiency Level</t>
        </is>
      </c>
      <c r="F8" s="7">
        <f>'KPI Dashboard'!I19</f>
        <v/>
      </c>
      <c r="G8" s="7">
        <f>'KPI Dashboard'!J19</f>
        <v/>
      </c>
      <c r="I8" s="4" t="inlineStr">
        <is>
          <t>○ At Risk = Red (score &lt;3 or &lt;60%)</t>
        </is>
      </c>
    </row>
    <row r="9">
      <c r="E9" s="7" t="inlineStr">
        <is>
          <t>Resistance Level</t>
        </is>
      </c>
      <c r="F9" s="7">
        <f>'KPI Dashboard'!I20</f>
        <v/>
      </c>
      <c r="G9" s="7">
        <f>'KPI Dashboard'!J20</f>
        <v/>
      </c>
    </row>
    <row r="10">
      <c r="A10" s="5" t="inlineStr">
        <is>
          <t>IMPLEMENTATION PROGRESS</t>
        </is>
      </c>
      <c r="E10" s="7" t="inlineStr">
        <is>
          <t>Sponsor Engagement</t>
        </is>
      </c>
      <c r="F10" s="7">
        <f>'KPI Dashboard'!I21</f>
        <v/>
      </c>
      <c r="G10" s="7">
        <f>'KPI Dashboard'!J21</f>
        <v/>
      </c>
    </row>
    <row r="11">
      <c r="A11" s="6" t="inlineStr">
        <is>
          <t>Phase/Status</t>
        </is>
      </c>
      <c r="B11" s="6" t="inlineStr">
        <is>
          <t>Count</t>
        </is>
      </c>
      <c r="C11" s="6" t="inlineStr">
        <is>
          <t>Percentage</t>
        </is>
      </c>
      <c r="E11" s="7" t="inlineStr">
        <is>
          <t>Sustainment Rate</t>
        </is>
      </c>
      <c r="F11" s="7">
        <f>'KPI Dashboard'!I22</f>
        <v/>
      </c>
      <c r="G11" s="7">
        <f>'KPI Dashboard'!J22</f>
        <v/>
      </c>
    </row>
    <row r="12">
      <c r="A12" s="7" t="inlineStr">
        <is>
          <t>Total Activities</t>
        </is>
      </c>
      <c r="B12" s="7">
        <f>COUNTA('Implementation Roadmap'!B10:B34)</f>
        <v/>
      </c>
      <c r="C12" s="8" t="inlineStr">
        <is>
          <t>100%</t>
        </is>
      </c>
    </row>
    <row r="13">
      <c r="A13" s="7" t="inlineStr">
        <is>
          <t>Completed</t>
        </is>
      </c>
      <c r="B13" s="7">
        <f>COUNTIF('Implementation Roadmap'!G10:G34,"Complete")</f>
        <v/>
      </c>
      <c r="C13" s="8">
        <f>IF(B12=0,"",B13/B12)</f>
        <v/>
      </c>
      <c r="E13" s="5" t="inlineStr">
        <is>
          <t>RISK SUMMARY</t>
        </is>
      </c>
    </row>
    <row r="14">
      <c r="A14" s="7" t="inlineStr">
        <is>
          <t>In Progress</t>
        </is>
      </c>
      <c r="B14" s="7">
        <f>COUNTIF('Implementation Roadmap'!G10:G34,"In Progress")</f>
        <v/>
      </c>
      <c r="C14" s="8">
        <f>IF(B12=0,"",B14/B12)</f>
        <v/>
      </c>
      <c r="E14" s="6" t="inlineStr">
        <is>
          <t>Risk Level</t>
        </is>
      </c>
      <c r="F14" s="6" t="inlineStr">
        <is>
          <t>Count</t>
        </is>
      </c>
      <c r="G14" s="6" t="inlineStr">
        <is>
          <t>Action</t>
        </is>
      </c>
    </row>
    <row r="15">
      <c r="A15" s="7" t="inlineStr">
        <is>
          <t>Not Started</t>
        </is>
      </c>
      <c r="B15" s="7">
        <f>COUNTIF('Implementation Roadmap'!G10:G34,"Not Started")</f>
        <v/>
      </c>
      <c r="C15" s="8">
        <f>IF(B12=0,"",B15/B12)</f>
        <v/>
      </c>
      <c r="E15" s="7" t="inlineStr">
        <is>
          <t>High (15-25)</t>
        </is>
      </c>
      <c r="F15" s="7">
        <f>COUNTIF('Risk Register'!G10:G24,"&gt;=15")</f>
        <v/>
      </c>
      <c r="G15" s="7" t="inlineStr">
        <is>
          <t>Immediate action</t>
        </is>
      </c>
    </row>
    <row r="16">
      <c r="A16" s="7" t="inlineStr">
        <is>
          <t>At Risk/Delayed</t>
        </is>
      </c>
      <c r="B16" s="7">
        <f>COUNTIF('Implementation Roadmap'!G10:G34,"At Risk")+COUNTIF('Implementation Roadmap'!G10:G34,"Delayed")</f>
        <v/>
      </c>
      <c r="C16" s="8">
        <f>IF(B12=0,"",B16/B12)</f>
        <v/>
      </c>
      <c r="E16" s="7" t="inlineStr">
        <is>
          <t>Medium (7-14)</t>
        </is>
      </c>
      <c r="F16" s="7">
        <f>SUMPRODUCT(('Risk Register'!G10:G24&gt;=7)*('Risk Register'!G10:G24&lt;15))</f>
        <v/>
      </c>
      <c r="G16" s="7" t="inlineStr">
        <is>
          <t>Mitigation required</t>
        </is>
      </c>
    </row>
    <row r="17">
      <c r="E17" s="7" t="inlineStr">
        <is>
          <t>Low (1-6)</t>
        </is>
      </c>
      <c r="F17" s="7">
        <f>SUMPRODUCT(('Risk Register'!G10:G24&gt;=1)*('Risk Register'!G10:G24&lt;7))</f>
        <v/>
      </c>
      <c r="G17" s="7" t="inlineStr">
        <is>
          <t>Monitor</t>
        </is>
      </c>
    </row>
    <row r="18">
      <c r="E18" s="7" t="inlineStr">
        <is>
          <t>Open Risks</t>
        </is>
      </c>
      <c r="F18" s="7">
        <f>COUNTIF('Risk Register'!K10:K24,"Open")</f>
        <v/>
      </c>
      <c r="G18" s="7" t="inlineStr"/>
    </row>
    <row r="19">
      <c r="A19" s="5" t="inlineStr">
        <is>
          <t>STAKEHOLDER ENGAGEMENT</t>
        </is>
      </c>
    </row>
    <row r="20">
      <c r="A20" s="6" t="inlineStr">
        <is>
          <t>Strategy</t>
        </is>
      </c>
      <c r="B20" s="6" t="inlineStr">
        <is>
          <t>Count</t>
        </is>
      </c>
      <c r="C20" s="6" t="inlineStr">
        <is>
          <t>% of Total</t>
        </is>
      </c>
      <c r="E20" s="5" t="inlineStr">
        <is>
          <t>ADKAR GAP ANALYSIS</t>
        </is>
      </c>
    </row>
    <row r="21">
      <c r="A21" s="7" t="inlineStr">
        <is>
          <t>Manage Closely</t>
        </is>
      </c>
      <c r="B21" s="7">
        <f>COUNTIF('Stakeholder Analysis'!H10:H50,"Manage Closely")</f>
        <v/>
      </c>
      <c r="C21" s="8">
        <f>IF(SUM(B22:B25)=0,"",B21/SUM(B21:B24))</f>
        <v/>
      </c>
      <c r="E21" s="6" t="inlineStr">
        <is>
          <t>Element</t>
        </is>
      </c>
      <c r="F21" s="6" t="inlineStr">
        <is>
          <t>Avg Score</t>
        </is>
      </c>
      <c r="G21" s="6" t="inlineStr">
        <is>
          <t>Gap Count</t>
        </is>
      </c>
    </row>
    <row r="22">
      <c r="A22" s="7" t="inlineStr">
        <is>
          <t>Keep Satisfied</t>
        </is>
      </c>
      <c r="B22" s="7">
        <f>COUNTIF('Stakeholder Analysis'!H10:H50,"Keep Satisfied")</f>
        <v/>
      </c>
      <c r="C22" s="8">
        <f>IF(SUM(B22:B25)=0,"",B22/SUM(B21:B24))</f>
        <v/>
      </c>
      <c r="E22" s="7" t="inlineStr">
        <is>
          <t>Awareness</t>
        </is>
      </c>
      <c r="F22" s="7">
        <f>AVERAGE('ADKAR Assessment'!B10:B50)</f>
        <v/>
      </c>
      <c r="G22" s="7">
        <f>COUNTIF('ADKAR Assessment'!H10:H50,"Awareness")</f>
        <v/>
      </c>
    </row>
    <row r="23">
      <c r="A23" s="7" t="inlineStr">
        <is>
          <t>Keep Informed</t>
        </is>
      </c>
      <c r="B23" s="7">
        <f>COUNTIF('Stakeholder Analysis'!H10:H50,"Keep Informed")</f>
        <v/>
      </c>
      <c r="C23" s="8">
        <f>IF(SUM(B22:B25)=0,"",B23/SUM(B21:B24))</f>
        <v/>
      </c>
      <c r="E23" s="7" t="inlineStr">
        <is>
          <t>Desire</t>
        </is>
      </c>
      <c r="F23" s="7">
        <f>AVERAGE('ADKAR Assessment'!C10:C50)</f>
        <v/>
      </c>
      <c r="G23" s="7">
        <f>COUNTIF('ADKAR Assessment'!H10:H50,"Desire")</f>
        <v/>
      </c>
    </row>
    <row r="24">
      <c r="A24" s="7" t="inlineStr">
        <is>
          <t>Monitor</t>
        </is>
      </c>
      <c r="B24" s="7">
        <f>COUNTIF('Stakeholder Analysis'!H10:H50,"Monitor")</f>
        <v/>
      </c>
      <c r="C24" s="8">
        <f>IF(SUM(B22:B25)=0,"",B24/SUM(B21:B24))</f>
        <v/>
      </c>
      <c r="E24" s="7" t="inlineStr">
        <is>
          <t>Knowledge</t>
        </is>
      </c>
      <c r="F24" s="7">
        <f>AVERAGE('ADKAR Assessment'!D10:D50)</f>
        <v/>
      </c>
      <c r="G24" s="7">
        <f>COUNTIF('ADKAR Assessment'!H10:H50,"Knowledge")</f>
        <v/>
      </c>
    </row>
    <row r="25">
      <c r="E25" s="7" t="inlineStr">
        <is>
          <t>Ability</t>
        </is>
      </c>
      <c r="F25" s="7">
        <f>AVERAGE('ADKAR Assessment'!E10:E50)</f>
        <v/>
      </c>
      <c r="G25" s="7">
        <f>COUNTIF('ADKAR Assessment'!H10:H50,"Ability")</f>
        <v/>
      </c>
    </row>
    <row r="26">
      <c r="E26" s="7" t="inlineStr">
        <is>
          <t>Reinforcement</t>
        </is>
      </c>
      <c r="F26" s="7">
        <f>AVERAGE('ADKAR Assessment'!F10:F50)</f>
        <v/>
      </c>
      <c r="G26" s="7">
        <f>COUNTIF('ADKAR Assessment'!H10:H50,"Reinforcement")</f>
        <v/>
      </c>
    </row>
    <row r="27">
      <c r="A27" s="5" t="inlineStr">
        <is>
          <t>RESISTANCE TRACKING</t>
        </is>
      </c>
    </row>
    <row r="28">
      <c r="A28" s="6" t="inlineStr">
        <is>
          <t>Status</t>
        </is>
      </c>
      <c r="B28" s="6" t="inlineStr">
        <is>
          <t>Count</t>
        </is>
      </c>
      <c r="C28" s="6" t="inlineStr">
        <is>
          <t>% of Total</t>
        </is>
      </c>
      <c r="E28" s="5" t="inlineStr">
        <is>
          <t>TRAINING PROGRESS</t>
        </is>
      </c>
    </row>
    <row r="29">
      <c r="A29" s="7" t="inlineStr">
        <is>
          <t>New</t>
        </is>
      </c>
      <c r="B29" s="7">
        <f>COUNTIF('Resistance Log'!K10:K50,"New")</f>
        <v/>
      </c>
      <c r="C29" s="8">
        <f>IF(SUM(B29:B33)=0,"",B29/SUM(B29:B33))</f>
        <v/>
      </c>
      <c r="E29" s="6" t="inlineStr">
        <is>
          <t>Status</t>
        </is>
      </c>
      <c r="F29" s="6" t="inlineStr">
        <is>
          <t>Count</t>
        </is>
      </c>
      <c r="G29" s="6" t="inlineStr">
        <is>
          <t>% Complete</t>
        </is>
      </c>
    </row>
    <row r="30">
      <c r="A30" s="7" t="inlineStr">
        <is>
          <t>Under Investigation</t>
        </is>
      </c>
      <c r="B30" s="7">
        <f>COUNTIF('Resistance Log'!K10:K50,"Under Investigation")</f>
        <v/>
      </c>
      <c r="C30" s="8">
        <f>IF(SUM(B29:B33)=0,"",B30/SUM(B29:B33))</f>
        <v/>
      </c>
      <c r="E30" s="7" t="inlineStr">
        <is>
          <t>Total Courses</t>
        </is>
      </c>
      <c r="F30" s="7">
        <f>COUNTA('Training Plan'!B10:B50)-COUNTBLANK('Training Plan'!B10:B50)</f>
        <v/>
      </c>
      <c r="G30" s="7" t="inlineStr"/>
    </row>
    <row r="31">
      <c r="A31" s="7" t="inlineStr">
        <is>
          <t>Mitigation In Progress</t>
        </is>
      </c>
      <c r="B31" s="7">
        <f>COUNTIF('Resistance Log'!K10:K50,"Mitigation In Progress")</f>
        <v/>
      </c>
      <c r="C31" s="8">
        <f>IF(SUM(B29:B33)=0,"",B31/SUM(B29:B33))</f>
        <v/>
      </c>
      <c r="E31" s="7" t="inlineStr">
        <is>
          <t>Completed</t>
        </is>
      </c>
      <c r="F31" s="7">
        <f>COUNTIF('Training Plan'!L10:L50,"Complete")</f>
        <v/>
      </c>
      <c r="G31" s="8">
        <f>IF(F30=0,"",F31/F30)</f>
        <v/>
      </c>
    </row>
    <row r="32">
      <c r="A32" s="7" t="inlineStr">
        <is>
          <t>Resolved</t>
        </is>
      </c>
      <c r="B32" s="7">
        <f>COUNTIF('Resistance Log'!K10:K50,"Resolved")</f>
        <v/>
      </c>
      <c r="C32" s="8">
        <f>IF(SUM(B29:B33)=0,"",B32/SUM(B29:B33))</f>
        <v/>
      </c>
      <c r="E32" s="7" t="inlineStr">
        <is>
          <t>In Progress</t>
        </is>
      </c>
      <c r="F32" s="7">
        <f>COUNTIF('Training Plan'!L10:L50,"In Progress")</f>
        <v/>
      </c>
      <c r="G32" s="7" t="inlineStr"/>
    </row>
    <row r="33">
      <c r="A33" s="7" t="inlineStr">
        <is>
          <t>Escalated</t>
        </is>
      </c>
      <c r="B33" s="7">
        <f>COUNTIF('Resistance Log'!K10:K50,"Escalated")</f>
        <v/>
      </c>
      <c r="C33" s="8">
        <f>IF(SUM(B29:B33)=0,"",B33/SUM(B29:B33))</f>
        <v/>
      </c>
      <c r="E33" s="7" t="inlineStr">
        <is>
          <t>Scheduled</t>
        </is>
      </c>
      <c r="F33" s="7">
        <f>COUNTIF('Training Plan'!L10:L50,"Scheduled")</f>
        <v/>
      </c>
      <c r="G33" s="7" t="inlineStr"/>
    </row>
  </sheetData>
  <mergeCells count="9">
    <mergeCell ref="A10:C10"/>
    <mergeCell ref="E28:G28"/>
    <mergeCell ref="A19:C19"/>
    <mergeCell ref="A1:G1"/>
    <mergeCell ref="E13:G13"/>
    <mergeCell ref="A27:C27"/>
    <mergeCell ref="E4:G4"/>
    <mergeCell ref="A4:C4"/>
    <mergeCell ref="E20:G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pane xSplit="8" topLeftCell="I1" activePane="topRight" state="frozen"/>
      <selection pane="topRight" activeCell="A1" sqref="A1"/>
    </sheetView>
  </sheetViews>
  <sheetFormatPr baseColWidth="8" defaultRowHeight="15"/>
  <cols>
    <col width="20" customWidth="1" min="1" max="1"/>
    <col width="25" customWidth="1" min="2" max="2"/>
    <col width="35" customWidth="1" min="3" max="3"/>
    <col width="15" customWidth="1" min="4" max="4"/>
    <col width="12" customWidth="1" min="5" max="5"/>
    <col width="12" customWidth="1" min="6" max="6"/>
    <col width="12" customWidth="1" min="7" max="7"/>
    <col width="35" customWidth="1" min="9" max="9"/>
  </cols>
  <sheetData>
    <row r="1">
      <c r="A1" s="9" t="inlineStr">
        <is>
          <t>OCM Implementation Roadmap</t>
        </is>
      </c>
      <c r="I1" s="2" t="inlineStr">
        <is>
          <t>INSTRUCTIONS</t>
        </is>
      </c>
    </row>
    <row r="2">
      <c r="I2" s="4" t="inlineStr">
        <is>
          <t>PURPOSE:</t>
        </is>
      </c>
    </row>
    <row r="3">
      <c r="A3" s="6" t="inlineStr">
        <is>
          <t>Phase</t>
        </is>
      </c>
      <c r="B3" s="6" t="inlineStr">
        <is>
          <t>Activity</t>
        </is>
      </c>
      <c r="C3" s="6" t="inlineStr">
        <is>
          <t>Description</t>
        </is>
      </c>
      <c r="D3" s="6" t="inlineStr">
        <is>
          <t>Owner</t>
        </is>
      </c>
      <c r="E3" s="6" t="inlineStr">
        <is>
          <t>Start Date</t>
        </is>
      </c>
      <c r="F3" s="6" t="inlineStr">
        <is>
          <t>End Date</t>
        </is>
      </c>
      <c r="G3" s="6" t="inlineStr">
        <is>
          <t>Status</t>
        </is>
      </c>
      <c r="I3" s="4" t="inlineStr">
        <is>
          <t>Track OCM implementation across 5 phases</t>
        </is>
      </c>
    </row>
    <row r="4">
      <c r="A4" s="10" t="inlineStr">
        <is>
          <t>Phase 1: Initiation</t>
        </is>
      </c>
      <c r="B4" s="10" t="inlineStr">
        <is>
          <t>1.1 Define Change</t>
        </is>
      </c>
      <c r="C4" s="10" t="inlineStr">
        <is>
          <t>Document what is changing and why</t>
        </is>
      </c>
      <c r="D4" s="10" t="inlineStr"/>
      <c r="E4" s="10" t="inlineStr"/>
      <c r="F4" s="10" t="inlineStr"/>
      <c r="G4" s="10" t="inlineStr">
        <is>
          <t>Not Started</t>
        </is>
      </c>
      <c r="I4" s="4" t="inlineStr">
        <is>
          <t>with 25 key activities.</t>
        </is>
      </c>
    </row>
    <row r="5">
      <c r="A5" s="10" t="inlineStr"/>
      <c r="B5" s="10" t="inlineStr">
        <is>
          <t>1.2 Identify Sponsor</t>
        </is>
      </c>
      <c r="C5" s="10" t="inlineStr">
        <is>
          <t>Secure executive sponsorship</t>
        </is>
      </c>
      <c r="D5" s="10" t="inlineStr"/>
      <c r="E5" s="10" t="inlineStr"/>
      <c r="F5" s="10" t="inlineStr"/>
      <c r="G5" s="10" t="inlineStr">
        <is>
          <t>Not Started</t>
        </is>
      </c>
      <c r="I5" s="4" t="inlineStr"/>
    </row>
    <row r="6">
      <c r="A6" s="10" t="inlineStr"/>
      <c r="B6" s="10" t="inlineStr">
        <is>
          <t>1.3 Form OCM Team</t>
        </is>
      </c>
      <c r="C6" s="10" t="inlineStr">
        <is>
          <t>Assemble change management resources</t>
        </is>
      </c>
      <c r="D6" s="10" t="inlineStr"/>
      <c r="E6" s="10" t="inlineStr"/>
      <c r="F6" s="10" t="inlineStr"/>
      <c r="G6" s="10" t="inlineStr">
        <is>
          <t>Not Started</t>
        </is>
      </c>
      <c r="I6" s="4" t="inlineStr">
        <is>
          <t>HOW TO USE:</t>
        </is>
      </c>
    </row>
    <row r="7">
      <c r="A7" s="10" t="inlineStr"/>
      <c r="B7" s="10" t="inlineStr">
        <is>
          <t>1.4 Initial Stakeholder ID</t>
        </is>
      </c>
      <c r="C7" s="10" t="inlineStr">
        <is>
          <t>Identify key stakeholder groups</t>
        </is>
      </c>
      <c r="D7" s="10" t="inlineStr"/>
      <c r="E7" s="10" t="inlineStr"/>
      <c r="F7" s="10" t="inlineStr"/>
      <c r="G7" s="10" t="inlineStr">
        <is>
          <t>Not Started</t>
        </is>
      </c>
      <c r="I7" s="4" t="inlineStr">
        <is>
          <t>1. Assign Owner to each activity</t>
        </is>
      </c>
    </row>
    <row r="8">
      <c r="A8" s="10" t="inlineStr"/>
      <c r="B8" s="10" t="inlineStr">
        <is>
          <t>1.5 Develop Business Case</t>
        </is>
      </c>
      <c r="C8" s="10" t="inlineStr">
        <is>
          <t>Document benefits and ROI for OCM</t>
        </is>
      </c>
      <c r="D8" s="10" t="inlineStr"/>
      <c r="E8" s="10" t="inlineStr"/>
      <c r="F8" s="10" t="inlineStr"/>
      <c r="G8" s="10" t="inlineStr">
        <is>
          <t>Not Started</t>
        </is>
      </c>
      <c r="I8" s="4" t="inlineStr">
        <is>
          <t>2. Set Start/End dates</t>
        </is>
      </c>
    </row>
    <row r="9">
      <c r="A9" s="10" t="inlineStr">
        <is>
          <t>Phase 2: Assessment</t>
        </is>
      </c>
      <c r="B9" s="10" t="inlineStr">
        <is>
          <t>2.1 Readiness Assessment</t>
        </is>
      </c>
      <c r="C9" s="10" t="inlineStr">
        <is>
          <t>Evaluate organizational readiness</t>
        </is>
      </c>
      <c r="D9" s="10" t="inlineStr"/>
      <c r="E9" s="10" t="inlineStr"/>
      <c r="F9" s="10" t="inlineStr"/>
      <c r="G9" s="10" t="inlineStr">
        <is>
          <t>Not Started</t>
        </is>
      </c>
      <c r="I9" s="4" t="inlineStr">
        <is>
          <t>3. Update Status using dropdown</t>
        </is>
      </c>
    </row>
    <row r="10">
      <c r="A10" s="10" t="inlineStr"/>
      <c r="B10" s="10" t="inlineStr">
        <is>
          <t>2.2 Stakeholder Analysis</t>
        </is>
      </c>
      <c r="C10" s="10" t="inlineStr">
        <is>
          <t>Complete power/interest mapping</t>
        </is>
      </c>
      <c r="D10" s="10" t="inlineStr"/>
      <c r="E10" s="10" t="inlineStr"/>
      <c r="F10" s="10" t="inlineStr"/>
      <c r="G10" s="10" t="inlineStr">
        <is>
          <t>Not Started</t>
        </is>
      </c>
      <c r="I10" s="4" t="inlineStr">
        <is>
          <t>4. Review weekly with OCM team</t>
        </is>
      </c>
    </row>
    <row r="11">
      <c r="A11" s="10" t="inlineStr"/>
      <c r="B11" s="10" t="inlineStr">
        <is>
          <t>2.3 Impact Assessment</t>
        </is>
      </c>
      <c r="C11" s="10" t="inlineStr">
        <is>
          <t>Analyze change impacts by group</t>
        </is>
      </c>
      <c r="D11" s="10" t="inlineStr"/>
      <c r="E11" s="10" t="inlineStr"/>
      <c r="F11" s="10" t="inlineStr"/>
      <c r="G11" s="10" t="inlineStr">
        <is>
          <t>Not Started</t>
        </is>
      </c>
      <c r="I11" s="4" t="inlineStr"/>
    </row>
    <row r="12">
      <c r="A12" s="10" t="inlineStr"/>
      <c r="B12" s="10" t="inlineStr">
        <is>
          <t>2.4 Risk Assessment</t>
        </is>
      </c>
      <c r="C12" s="10" t="inlineStr">
        <is>
          <t>Identify OCM-specific risks</t>
        </is>
      </c>
      <c r="D12" s="10" t="inlineStr"/>
      <c r="E12" s="10" t="inlineStr"/>
      <c r="F12" s="10" t="inlineStr"/>
      <c r="G12" s="10" t="inlineStr">
        <is>
          <t>Not Started</t>
        </is>
      </c>
      <c r="I12" s="4" t="inlineStr">
        <is>
          <t>STATUS OPTIONS:</t>
        </is>
      </c>
    </row>
    <row r="13">
      <c r="A13" s="10" t="inlineStr"/>
      <c r="B13" s="10" t="inlineStr">
        <is>
          <t>2.5 ADKAR Baseline</t>
        </is>
      </c>
      <c r="C13" s="10" t="inlineStr">
        <is>
          <t>Establish baseline ADKAR scores</t>
        </is>
      </c>
      <c r="D13" s="10" t="inlineStr"/>
      <c r="E13" s="10" t="inlineStr"/>
      <c r="F13" s="10" t="inlineStr"/>
      <c r="G13" s="10" t="inlineStr">
        <is>
          <t>Not Started</t>
        </is>
      </c>
      <c r="I13" s="4" t="inlineStr">
        <is>
          <t>• Not Started - Work not begun</t>
        </is>
      </c>
    </row>
    <row r="14">
      <c r="A14" s="10" t="inlineStr">
        <is>
          <t>Phase 3: Planning</t>
        </is>
      </c>
      <c r="B14" s="10" t="inlineStr">
        <is>
          <t>3.1 OCM Strategy</t>
        </is>
      </c>
      <c r="C14" s="10" t="inlineStr">
        <is>
          <t>Define overall OCM approach</t>
        </is>
      </c>
      <c r="D14" s="10" t="inlineStr"/>
      <c r="E14" s="10" t="inlineStr"/>
      <c r="F14" s="10" t="inlineStr"/>
      <c r="G14" s="10" t="inlineStr">
        <is>
          <t>Not Started</t>
        </is>
      </c>
      <c r="I14" s="4" t="inlineStr">
        <is>
          <t>• In Progress - Currently working</t>
        </is>
      </c>
    </row>
    <row r="15">
      <c r="A15" s="10" t="inlineStr"/>
      <c r="B15" s="10" t="inlineStr">
        <is>
          <t>3.2 Communication Plan</t>
        </is>
      </c>
      <c r="C15" s="10" t="inlineStr">
        <is>
          <t>Develop messaging and channels</t>
        </is>
      </c>
      <c r="D15" s="10" t="inlineStr"/>
      <c r="E15" s="10" t="inlineStr"/>
      <c r="F15" s="10" t="inlineStr"/>
      <c r="G15" s="10" t="inlineStr">
        <is>
          <t>Not Started</t>
        </is>
      </c>
      <c r="I15" s="4" t="inlineStr">
        <is>
          <t>• Complete - Finished successfully</t>
        </is>
      </c>
    </row>
    <row r="16">
      <c r="A16" s="10" t="inlineStr"/>
      <c r="B16" s="10" t="inlineStr">
        <is>
          <t>3.3 Training Plan</t>
        </is>
      </c>
      <c r="C16" s="10" t="inlineStr">
        <is>
          <t>Design learning curriculum</t>
        </is>
      </c>
      <c r="D16" s="10" t="inlineStr"/>
      <c r="E16" s="10" t="inlineStr"/>
      <c r="F16" s="10" t="inlineStr"/>
      <c r="G16" s="10" t="inlineStr">
        <is>
          <t>Not Started</t>
        </is>
      </c>
      <c r="I16" s="4" t="inlineStr">
        <is>
          <t>• Delayed - Behind schedule</t>
        </is>
      </c>
    </row>
    <row r="17">
      <c r="A17" s="10" t="inlineStr"/>
      <c r="B17" s="10" t="inlineStr">
        <is>
          <t>3.4 Sponsorship Roadmap</t>
        </is>
      </c>
      <c r="C17" s="10" t="inlineStr">
        <is>
          <t>Plan sponsor activities</t>
        </is>
      </c>
      <c r="D17" s="10" t="inlineStr"/>
      <c r="E17" s="10" t="inlineStr"/>
      <c r="F17" s="10" t="inlineStr"/>
      <c r="G17" s="10" t="inlineStr">
        <is>
          <t>Not Started</t>
        </is>
      </c>
      <c r="I17" s="4" t="inlineStr">
        <is>
          <t>• At Risk - May not complete</t>
        </is>
      </c>
    </row>
    <row r="18">
      <c r="A18" s="10" t="inlineStr"/>
      <c r="B18" s="10" t="inlineStr">
        <is>
          <t>3.5 Resistance Plan</t>
        </is>
      </c>
      <c r="C18" s="10" t="inlineStr">
        <is>
          <t>Develop resistance mitigation strategies</t>
        </is>
      </c>
      <c r="D18" s="10" t="inlineStr"/>
      <c r="E18" s="10" t="inlineStr"/>
      <c r="F18" s="10" t="inlineStr"/>
      <c r="G18" s="10" t="inlineStr">
        <is>
          <t>Not Started</t>
        </is>
      </c>
    </row>
    <row r="19">
      <c r="A19" s="10" t="inlineStr">
        <is>
          <t>Phase 4: Execution</t>
        </is>
      </c>
      <c r="B19" s="10" t="inlineStr">
        <is>
          <t>4.1 Launch Communications</t>
        </is>
      </c>
      <c r="C19" s="10" t="inlineStr">
        <is>
          <t>Begin awareness campaign</t>
        </is>
      </c>
      <c r="D19" s="10" t="inlineStr"/>
      <c r="E19" s="10" t="inlineStr"/>
      <c r="F19" s="10" t="inlineStr"/>
      <c r="G19" s="10" t="inlineStr">
        <is>
          <t>Not Started</t>
        </is>
      </c>
      <c r="I19" s="11" t="inlineStr">
        <is>
          <t>REFERENCE</t>
        </is>
      </c>
    </row>
    <row r="20">
      <c r="A20" s="10" t="inlineStr"/>
      <c r="B20" s="10" t="inlineStr">
        <is>
          <t>4.2 Sponsor Engagement</t>
        </is>
      </c>
      <c r="C20" s="10" t="inlineStr">
        <is>
          <t>Execute sponsor activities</t>
        </is>
      </c>
      <c r="D20" s="10" t="inlineStr"/>
      <c r="E20" s="10" t="inlineStr"/>
      <c r="F20" s="10" t="inlineStr"/>
      <c r="G20" s="10" t="inlineStr">
        <is>
          <t>Not Started</t>
        </is>
      </c>
      <c r="I20" s="12" t="inlineStr">
        <is>
          <t>PHASE DESCRIPTIONS:</t>
        </is>
      </c>
    </row>
    <row r="21">
      <c r="A21" s="10" t="inlineStr"/>
      <c r="B21" s="10" t="inlineStr">
        <is>
          <t>4.3 Deliver Training</t>
        </is>
      </c>
      <c r="C21" s="10" t="inlineStr">
        <is>
          <t>Conduct training sessions</t>
        </is>
      </c>
      <c r="D21" s="10" t="inlineStr"/>
      <c r="E21" s="10" t="inlineStr"/>
      <c r="F21" s="10" t="inlineStr"/>
      <c r="G21" s="10" t="inlineStr">
        <is>
          <t>Not Started</t>
        </is>
      </c>
      <c r="I21" s="12" t="inlineStr"/>
    </row>
    <row r="22">
      <c r="A22" s="10" t="inlineStr"/>
      <c r="B22" s="10" t="inlineStr">
        <is>
          <t>4.4 Manage Resistance</t>
        </is>
      </c>
      <c r="C22" s="10" t="inlineStr">
        <is>
          <t>Address resistance as it emerges</t>
        </is>
      </c>
      <c r="D22" s="10" t="inlineStr"/>
      <c r="E22" s="10" t="inlineStr"/>
      <c r="F22" s="10" t="inlineStr"/>
      <c r="G22" s="10" t="inlineStr">
        <is>
          <t>Not Started</t>
        </is>
      </c>
      <c r="I22" s="12" t="inlineStr">
        <is>
          <t>Phase 1: Initiation (Months 1-2)</t>
        </is>
      </c>
    </row>
    <row r="23">
      <c r="A23" s="10" t="inlineStr"/>
      <c r="B23" s="10" t="inlineStr">
        <is>
          <t>4.5 Monitor Adoption</t>
        </is>
      </c>
      <c r="C23" s="10" t="inlineStr">
        <is>
          <t>Track KPIs and adjust</t>
        </is>
      </c>
      <c r="D23" s="10" t="inlineStr"/>
      <c r="E23" s="10" t="inlineStr"/>
      <c r="F23" s="10" t="inlineStr"/>
      <c r="G23" s="10" t="inlineStr">
        <is>
          <t>Not Started</t>
        </is>
      </c>
      <c r="I23" s="12" t="inlineStr">
        <is>
          <t>Establish foundation and sponsorship</t>
        </is>
      </c>
    </row>
    <row r="24">
      <c r="A24" s="10" t="inlineStr">
        <is>
          <t>Phase 5: Sustainment</t>
        </is>
      </c>
      <c r="B24" s="10" t="inlineStr">
        <is>
          <t>5.1 Reinforcement</t>
        </is>
      </c>
      <c r="C24" s="10" t="inlineStr">
        <is>
          <t>Implement recognition and rewards</t>
        </is>
      </c>
      <c r="D24" s="10" t="inlineStr"/>
      <c r="E24" s="10" t="inlineStr"/>
      <c r="F24" s="10" t="inlineStr"/>
      <c r="G24" s="10" t="inlineStr">
        <is>
          <t>Not Started</t>
        </is>
      </c>
      <c r="I24" s="12" t="inlineStr"/>
    </row>
    <row r="25">
      <c r="A25" s="10" t="inlineStr"/>
      <c r="B25" s="10" t="inlineStr">
        <is>
          <t>5.2 Embed in Systems</t>
        </is>
      </c>
      <c r="C25" s="10" t="inlineStr">
        <is>
          <t>Update processes and policies</t>
        </is>
      </c>
      <c r="D25" s="10" t="inlineStr"/>
      <c r="E25" s="10" t="inlineStr"/>
      <c r="F25" s="10" t="inlineStr"/>
      <c r="G25" s="10" t="inlineStr">
        <is>
          <t>Not Started</t>
        </is>
      </c>
      <c r="I25" s="12" t="inlineStr">
        <is>
          <t>Phase 2: Assessment (Months 2-3)</t>
        </is>
      </c>
    </row>
    <row r="26">
      <c r="A26" s="10" t="inlineStr"/>
      <c r="B26" s="10" t="inlineStr">
        <is>
          <t>5.3 Knowledge Transfer</t>
        </is>
      </c>
      <c r="C26" s="10" t="inlineStr">
        <is>
          <t>Transition to BAU support</t>
        </is>
      </c>
      <c r="D26" s="10" t="inlineStr"/>
      <c r="E26" s="10" t="inlineStr"/>
      <c r="F26" s="10" t="inlineStr"/>
      <c r="G26" s="10" t="inlineStr">
        <is>
          <t>Not Started</t>
        </is>
      </c>
      <c r="I26" s="12" t="inlineStr">
        <is>
          <t>Analyze readiness and impacts</t>
        </is>
      </c>
    </row>
    <row r="27">
      <c r="A27" s="10" t="inlineStr"/>
      <c r="B27" s="10" t="inlineStr">
        <is>
          <t>5.4 Lessons Learned</t>
        </is>
      </c>
      <c r="C27" s="10" t="inlineStr">
        <is>
          <t>Document and share learnings</t>
        </is>
      </c>
      <c r="D27" s="10" t="inlineStr"/>
      <c r="E27" s="10" t="inlineStr"/>
      <c r="F27" s="10" t="inlineStr"/>
      <c r="G27" s="10" t="inlineStr">
        <is>
          <t>Not Started</t>
        </is>
      </c>
      <c r="I27" s="12" t="inlineStr"/>
    </row>
    <row r="28">
      <c r="A28" s="10" t="inlineStr"/>
      <c r="B28" s="10" t="inlineStr">
        <is>
          <t>5.5 Close OCM Effort</t>
        </is>
      </c>
      <c r="C28" s="10" t="inlineStr">
        <is>
          <t>Formal closure and celebration</t>
        </is>
      </c>
      <c r="D28" s="10" t="inlineStr"/>
      <c r="E28" s="10" t="inlineStr"/>
      <c r="F28" s="10" t="inlineStr"/>
      <c r="G28" s="10" t="inlineStr">
        <is>
          <t>Not Started</t>
        </is>
      </c>
      <c r="I28" s="12" t="inlineStr">
        <is>
          <t>Phase 3: Planning (Months 3-4)</t>
        </is>
      </c>
    </row>
    <row r="29">
      <c r="A29" s="7" t="n"/>
      <c r="B29" s="7" t="n"/>
      <c r="C29" s="7" t="n"/>
      <c r="D29" s="7" t="n"/>
      <c r="E29" s="7" t="n"/>
      <c r="F29" s="7" t="n"/>
      <c r="G29" s="7" t="n"/>
      <c r="I29" s="12" t="inlineStr">
        <is>
          <t>Develop detailed OCM plans</t>
        </is>
      </c>
    </row>
    <row r="30">
      <c r="A30" s="7" t="n"/>
      <c r="B30" s="7" t="n"/>
      <c r="C30" s="7" t="n"/>
      <c r="D30" s="7" t="n"/>
      <c r="E30" s="7" t="n"/>
      <c r="F30" s="7" t="n"/>
      <c r="G30" s="7" t="n"/>
      <c r="I30" s="12" t="inlineStr"/>
    </row>
    <row r="31">
      <c r="A31" s="7" t="n"/>
      <c r="B31" s="7" t="n"/>
      <c r="C31" s="7" t="n"/>
      <c r="D31" s="7" t="n"/>
      <c r="E31" s="7" t="n"/>
      <c r="F31" s="7" t="n"/>
      <c r="G31" s="7" t="n"/>
      <c r="I31" s="12" t="inlineStr">
        <is>
          <t>Phase 4: Execution (Months 4-8)</t>
        </is>
      </c>
    </row>
    <row r="32">
      <c r="A32" s="7" t="n"/>
      <c r="B32" s="7" t="n"/>
      <c r="C32" s="7" t="n"/>
      <c r="D32" s="7" t="n"/>
      <c r="E32" s="7" t="n"/>
      <c r="F32" s="7" t="n"/>
      <c r="G32" s="7" t="n"/>
      <c r="I32" s="12" t="inlineStr">
        <is>
          <t>Implement OCM activities</t>
        </is>
      </c>
    </row>
    <row r="33">
      <c r="A33" s="7" t="n"/>
      <c r="B33" s="7" t="n"/>
      <c r="C33" s="7" t="n"/>
      <c r="D33" s="7" t="n"/>
      <c r="E33" s="7" t="n"/>
      <c r="F33" s="7" t="n"/>
      <c r="G33" s="7" t="n"/>
      <c r="I33" s="12" t="inlineStr"/>
    </row>
    <row r="34">
      <c r="A34" s="7" t="n"/>
      <c r="B34" s="7" t="n"/>
      <c r="C34" s="7" t="n"/>
      <c r="D34" s="7" t="n"/>
      <c r="E34" s="7" t="n"/>
      <c r="F34" s="7" t="n"/>
      <c r="G34" s="7" t="n"/>
      <c r="I34" s="12" t="inlineStr">
        <is>
          <t>Phase 5: Sustainment (Months 8+)</t>
        </is>
      </c>
    </row>
    <row r="35">
      <c r="A35" s="7" t="n"/>
      <c r="B35" s="7" t="n"/>
      <c r="C35" s="7" t="n"/>
      <c r="D35" s="7" t="n"/>
      <c r="E35" s="7" t="n"/>
      <c r="F35" s="7" t="n"/>
      <c r="G35" s="7" t="n"/>
      <c r="I35" s="12" t="inlineStr">
        <is>
          <t>Reinforce and embed changes</t>
        </is>
      </c>
    </row>
    <row r="36">
      <c r="A36" s="7" t="n"/>
      <c r="B36" s="7" t="n"/>
      <c r="C36" s="7" t="n"/>
      <c r="D36" s="7" t="n"/>
      <c r="E36" s="7" t="n"/>
      <c r="F36" s="7" t="n"/>
      <c r="G36" s="7" t="n"/>
    </row>
    <row r="37">
      <c r="A37" s="7" t="n"/>
      <c r="B37" s="7" t="n"/>
      <c r="C37" s="7" t="n"/>
      <c r="D37" s="7" t="n"/>
      <c r="E37" s="7" t="n"/>
      <c r="F37" s="7" t="n"/>
      <c r="G37" s="7" t="n"/>
    </row>
    <row r="38">
      <c r="A38" s="7" t="n"/>
      <c r="B38" s="7" t="n"/>
      <c r="C38" s="7" t="n"/>
      <c r="D38" s="7" t="n"/>
      <c r="E38" s="7" t="n"/>
      <c r="F38" s="7" t="n"/>
      <c r="G38" s="7" t="n"/>
    </row>
  </sheetData>
  <dataValidations count="1">
    <dataValidation sqref="G4:G50" showDropDown="0" showInputMessage="0" showErrorMessage="0" allowBlank="0" type="list">
      <formula1>"Not Started,In Progress,Complete,Delayed,At Risk"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pane xSplit="9" topLeftCell="J1" activePane="topRight" state="frozen"/>
      <selection pane="topRight" activeCell="A1" sqref="A1"/>
    </sheetView>
  </sheetViews>
  <sheetFormatPr baseColWidth="8" defaultRowHeight="15"/>
  <cols>
    <col width="25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8" customWidth="1" min="7" max="7"/>
    <col width="14" customWidth="1" min="8" max="8"/>
    <col width="35" customWidth="1" min="10" max="10"/>
  </cols>
  <sheetData>
    <row r="1">
      <c r="A1" s="9" t="inlineStr">
        <is>
          <t>ADKAR Assessment</t>
        </is>
      </c>
      <c r="J1" s="2" t="inlineStr">
        <is>
          <t>INSTRUCTIONS</t>
        </is>
      </c>
    </row>
    <row r="2">
      <c r="J2" s="4" t="inlineStr">
        <is>
          <t>PURPOSE:</t>
        </is>
      </c>
    </row>
    <row r="3">
      <c r="A3" s="6" t="inlineStr">
        <is>
          <t>Stakeholder/Group</t>
        </is>
      </c>
      <c r="B3" s="6" t="inlineStr">
        <is>
          <t>A (1-5)</t>
        </is>
      </c>
      <c r="C3" s="6" t="inlineStr">
        <is>
          <t>D (1-5)</t>
        </is>
      </c>
      <c r="D3" s="6" t="inlineStr">
        <is>
          <t>K (1-5)</t>
        </is>
      </c>
      <c r="E3" s="6" t="inlineStr">
        <is>
          <t>A (1-5)</t>
        </is>
      </c>
      <c r="F3" s="6" t="inlineStr">
        <is>
          <t>R (1-5)</t>
        </is>
      </c>
      <c r="G3" s="6" t="inlineStr">
        <is>
          <t>Total</t>
        </is>
      </c>
      <c r="H3" s="6" t="inlineStr">
        <is>
          <t>Priority Gap</t>
        </is>
      </c>
      <c r="J3" s="4" t="inlineStr">
        <is>
          <t>Assess stakeholder readiness using</t>
        </is>
      </c>
    </row>
    <row r="4">
      <c r="A4" s="7" t="inlineStr">
        <is>
          <t>Executive Leadership</t>
        </is>
      </c>
      <c r="B4" s="7" t="n"/>
      <c r="C4" s="7" t="n"/>
      <c r="D4" s="7" t="n"/>
      <c r="E4" s="7" t="n"/>
      <c r="F4" s="7" t="n"/>
      <c r="G4" s="7">
        <f>IF(COUNTA(B4:F4)=5,SUM(B4:F4),"")</f>
        <v/>
      </c>
      <c r="H4" s="7">
        <f>IF(COUNTA(B4:F4)&lt;5,"",INDEX({"Awareness","Desire","Knowledge","Ability","Reinforcement"},MATCH(MIN(B4:F4),B4:F4,0)))</f>
        <v/>
      </c>
      <c r="J4" s="4" t="inlineStr">
        <is>
          <t>the ADKAR change model.</t>
        </is>
      </c>
    </row>
    <row r="5">
      <c r="A5" s="7" t="inlineStr">
        <is>
          <t>Middle Management</t>
        </is>
      </c>
      <c r="B5" s="7" t="n"/>
      <c r="C5" s="7" t="n"/>
      <c r="D5" s="7" t="n"/>
      <c r="E5" s="7" t="n"/>
      <c r="F5" s="7" t="n"/>
      <c r="G5" s="7">
        <f>IF(COUNTA(B5:F5)=5,SUM(B5:F5),"")</f>
        <v/>
      </c>
      <c r="H5" s="7">
        <f>IF(COUNTA(B5:F5)&lt;5,"",INDEX({"Awareness","Desire","Knowledge","Ability","Reinforcement"},MATCH(MIN(B5:F5),B5:F5,0)))</f>
        <v/>
      </c>
      <c r="J5" s="4" t="inlineStr"/>
    </row>
    <row r="6">
      <c r="A6" s="7" t="inlineStr">
        <is>
          <t>Front-line Supervisors</t>
        </is>
      </c>
      <c r="B6" s="7" t="n"/>
      <c r="C6" s="7" t="n"/>
      <c r="D6" s="7" t="n"/>
      <c r="E6" s="7" t="n"/>
      <c r="F6" s="7" t="n"/>
      <c r="G6" s="7">
        <f>IF(COUNTA(B6:F6)=5,SUM(B6:F6),"")</f>
        <v/>
      </c>
      <c r="H6" s="7">
        <f>IF(COUNTA(B6:F6)&lt;5,"",INDEX({"Awareness","Desire","Knowledge","Ability","Reinforcement"},MATCH(MIN(B6:F6),B6:F6,0)))</f>
        <v/>
      </c>
      <c r="J6" s="4" t="inlineStr">
        <is>
          <t>HOW TO USE:</t>
        </is>
      </c>
    </row>
    <row r="7">
      <c r="A7" s="7" t="inlineStr">
        <is>
          <t>End Users - Group A</t>
        </is>
      </c>
      <c r="B7" s="7" t="n"/>
      <c r="C7" s="7" t="n"/>
      <c r="D7" s="7" t="n"/>
      <c r="E7" s="7" t="n"/>
      <c r="F7" s="7" t="n"/>
      <c r="G7" s="7">
        <f>IF(COUNTA(B7:F7)=5,SUM(B7:F7),"")</f>
        <v/>
      </c>
      <c r="H7" s="7">
        <f>IF(COUNTA(B7:F7)&lt;5,"",INDEX({"Awareness","Desire","Knowledge","Ability","Reinforcement"},MATCH(MIN(B7:F7),B7:F7,0)))</f>
        <v/>
      </c>
      <c r="J7" s="4" t="inlineStr">
        <is>
          <t>1. List stakeholder groups (col A)</t>
        </is>
      </c>
    </row>
    <row r="8">
      <c r="A8" s="7" t="inlineStr">
        <is>
          <t>End Users - Group B</t>
        </is>
      </c>
      <c r="B8" s="7" t="n"/>
      <c r="C8" s="7" t="n"/>
      <c r="D8" s="7" t="n"/>
      <c r="E8" s="7" t="n"/>
      <c r="F8" s="7" t="n"/>
      <c r="G8" s="7">
        <f>IF(COUNTA(B8:F8)=5,SUM(B8:F8),"")</f>
        <v/>
      </c>
      <c r="H8" s="7">
        <f>IF(COUNTA(B8:F8)&lt;5,"",INDEX({"Awareness","Desire","Knowledge","Ability","Reinforcement"},MATCH(MIN(B8:F8),B8:F8,0)))</f>
        <v/>
      </c>
      <c r="J8" s="4" t="inlineStr">
        <is>
          <t>2. Rate each ADKAR element 1-5</t>
        </is>
      </c>
    </row>
    <row r="9">
      <c r="A9" s="7" t="inlineStr">
        <is>
          <t>IT Support Staff</t>
        </is>
      </c>
      <c r="B9" s="7" t="n"/>
      <c r="C9" s="7" t="n"/>
      <c r="D9" s="7" t="n"/>
      <c r="E9" s="7" t="n"/>
      <c r="F9" s="7" t="n"/>
      <c r="G9" s="7">
        <f>IF(COUNTA(B9:F9)=5,SUM(B9:F9),"")</f>
        <v/>
      </c>
      <c r="H9" s="7">
        <f>IF(COUNTA(B9:F9)&lt;5,"",INDEX({"Awareness","Desire","Knowledge","Ability","Reinforcement"},MATCH(MIN(B9:F9),B9:F9,0)))</f>
        <v/>
      </c>
      <c r="J9" s="4" t="inlineStr">
        <is>
          <t>3. Total auto-calculates (col G)</t>
        </is>
      </c>
    </row>
    <row r="10">
      <c r="A10" s="7" t="inlineStr">
        <is>
          <t>HR/Training Team</t>
        </is>
      </c>
      <c r="B10" s="7" t="n"/>
      <c r="C10" s="7" t="n"/>
      <c r="D10" s="7" t="n"/>
      <c r="E10" s="7" t="n"/>
      <c r="F10" s="7" t="n"/>
      <c r="G10" s="7">
        <f>IF(COUNTA(B10:F10)=5,SUM(B10:F10),"")</f>
        <v/>
      </c>
      <c r="H10" s="7">
        <f>IF(COUNTA(B10:F10)&lt;5,"",INDEX({"Awareness","Desire","Knowledge","Ability","Reinforcement"},MATCH(MIN(B10:F10),B10:F10,0)))</f>
        <v/>
      </c>
      <c r="J10" s="4" t="inlineStr">
        <is>
          <t>4. Priority Gap shows focus area (col H)</t>
        </is>
      </c>
    </row>
    <row r="11">
      <c r="A11" s="7" t="inlineStr">
        <is>
          <t>External Partners</t>
        </is>
      </c>
      <c r="B11" s="7" t="n"/>
      <c r="C11" s="7" t="n"/>
      <c r="D11" s="7" t="n"/>
      <c r="E11" s="7" t="n"/>
      <c r="F11" s="7" t="n"/>
      <c r="G11" s="7">
        <f>IF(COUNTA(B11:F11)=5,SUM(B11:F11),"")</f>
        <v/>
      </c>
      <c r="H11" s="7">
        <f>IF(COUNTA(B11:F11)&lt;5,"",INDEX({"Awareness","Desire","Knowledge","Ability","Reinforcement"},MATCH(MIN(B11:F11),B11:F11,0)))</f>
        <v/>
      </c>
      <c r="J11" s="4" t="inlineStr"/>
    </row>
    <row r="12">
      <c r="A12" s="7" t="n"/>
      <c r="B12" s="7" t="n"/>
      <c r="C12" s="7" t="n"/>
      <c r="D12" s="7" t="n"/>
      <c r="E12" s="7" t="n"/>
      <c r="F12" s="7" t="n"/>
      <c r="G12" s="7">
        <f>IF(COUNTA(B12:F12)=5,SUM(B12:F12),"")</f>
        <v/>
      </c>
      <c r="H12" s="7">
        <f>IF(COUNTA(B12:F12)&lt;5,"",INDEX({"Awareness","Desire","Knowledge","Ability","Reinforcement"},MATCH(MIN(B12:F12),B12:F12,0)))</f>
        <v/>
      </c>
      <c r="J12" s="4" t="inlineStr">
        <is>
          <t>ADKAR ELEMENTS:</t>
        </is>
      </c>
    </row>
    <row r="13">
      <c r="A13" s="7" t="n"/>
      <c r="B13" s="7" t="n"/>
      <c r="C13" s="7" t="n"/>
      <c r="D13" s="7" t="n"/>
      <c r="E13" s="7" t="n"/>
      <c r="F13" s="7" t="n"/>
      <c r="G13" s="7">
        <f>IF(COUNTA(B13:F13)=5,SUM(B13:F13),"")</f>
        <v/>
      </c>
      <c r="H13" s="7">
        <f>IF(COUNTA(B13:F13)&lt;5,"",INDEX({"Awareness","Desire","Knowledge","Ability","Reinforcement"},MATCH(MIN(B13:F13),B13:F13,0)))</f>
        <v/>
      </c>
      <c r="J13" s="4" t="inlineStr">
        <is>
          <t>A = Awareness (why change)</t>
        </is>
      </c>
    </row>
    <row r="14">
      <c r="A14" s="7" t="n"/>
      <c r="B14" s="7" t="n"/>
      <c r="C14" s="7" t="n"/>
      <c r="D14" s="7" t="n"/>
      <c r="E14" s="7" t="n"/>
      <c r="F14" s="7" t="n"/>
      <c r="G14" s="7">
        <f>IF(COUNTA(B14:F14)=5,SUM(B14:F14),"")</f>
        <v/>
      </c>
      <c r="H14" s="7">
        <f>IF(COUNTA(B14:F14)&lt;5,"",INDEX({"Awareness","Desire","Knowledge","Ability","Reinforcement"},MATCH(MIN(B14:F14),B14:F14,0)))</f>
        <v/>
      </c>
      <c r="J14" s="4" t="inlineStr">
        <is>
          <t>D = Desire (want to change)</t>
        </is>
      </c>
    </row>
    <row r="15">
      <c r="A15" s="7" t="n"/>
      <c r="B15" s="7" t="n"/>
      <c r="C15" s="7" t="n"/>
      <c r="D15" s="7" t="n"/>
      <c r="E15" s="7" t="n"/>
      <c r="F15" s="7" t="n"/>
      <c r="G15" s="7">
        <f>IF(COUNTA(B15:F15)=5,SUM(B15:F15),"")</f>
        <v/>
      </c>
      <c r="H15" s="7">
        <f>IF(COUNTA(B15:F15)&lt;5,"",INDEX({"Awareness","Desire","Knowledge","Ability","Reinforcement"},MATCH(MIN(B15:F15),B15:F15,0)))</f>
        <v/>
      </c>
      <c r="J15" s="4" t="inlineStr">
        <is>
          <t>K = Knowledge (how to change)</t>
        </is>
      </c>
    </row>
    <row r="16">
      <c r="A16" s="7" t="n"/>
      <c r="B16" s="7" t="n"/>
      <c r="C16" s="7" t="n"/>
      <c r="D16" s="7" t="n"/>
      <c r="E16" s="7" t="n"/>
      <c r="F16" s="7" t="n"/>
      <c r="G16" s="7">
        <f>IF(COUNTA(B16:F16)=5,SUM(B16:F16),"")</f>
        <v/>
      </c>
      <c r="H16" s="7">
        <f>IF(COUNTA(B16:F16)&lt;5,"",INDEX({"Awareness","Desire","Knowledge","Ability","Reinforcement"},MATCH(MIN(B16:F16),B16:F16,0)))</f>
        <v/>
      </c>
      <c r="J16" s="4" t="inlineStr">
        <is>
          <t>A = Ability (can change)</t>
        </is>
      </c>
    </row>
    <row r="17">
      <c r="A17" s="7" t="n"/>
      <c r="B17" s="7" t="n"/>
      <c r="C17" s="7" t="n"/>
      <c r="D17" s="7" t="n"/>
      <c r="E17" s="7" t="n"/>
      <c r="F17" s="7" t="n"/>
      <c r="G17" s="7">
        <f>IF(COUNTA(B17:F17)=5,SUM(B17:F17),"")</f>
        <v/>
      </c>
      <c r="H17" s="7">
        <f>IF(COUNTA(B17:F17)&lt;5,"",INDEX({"Awareness","Desire","Knowledge","Ability","Reinforcement"},MATCH(MIN(B17:F17),B17:F17,0)))</f>
        <v/>
      </c>
      <c r="J17" s="4" t="inlineStr">
        <is>
          <t>R = Reinforcement (sustain)</t>
        </is>
      </c>
    </row>
    <row r="18">
      <c r="A18" s="7" t="n"/>
      <c r="B18" s="7" t="n"/>
      <c r="C18" s="7" t="n"/>
      <c r="D18" s="7" t="n"/>
      <c r="E18" s="7" t="n"/>
      <c r="F18" s="7" t="n"/>
      <c r="G18" s="7">
        <f>IF(COUNTA(B18:F18)=5,SUM(B18:F18),"")</f>
        <v/>
      </c>
      <c r="H18" s="7">
        <f>IF(COUNTA(B18:F18)&lt;5,"",INDEX({"Awareness","Desire","Knowledge","Ability","Reinforcement"},MATCH(MIN(B18:F18),B18:F18,0)))</f>
        <v/>
      </c>
    </row>
    <row r="19">
      <c r="A19" s="7" t="n"/>
      <c r="B19" s="7" t="n"/>
      <c r="C19" s="7" t="n"/>
      <c r="D19" s="7" t="n"/>
      <c r="E19" s="7" t="n"/>
      <c r="F19" s="7" t="n"/>
      <c r="G19" s="7">
        <f>IF(COUNTA(B19:F19)=5,SUM(B19:F19),"")</f>
        <v/>
      </c>
      <c r="H19" s="7">
        <f>IF(COUNTA(B19:F19)&lt;5,"",INDEX({"Awareness","Desire","Knowledge","Ability","Reinforcement"},MATCH(MIN(B19:F19),B19:F19,0)))</f>
        <v/>
      </c>
      <c r="J19" s="11" t="inlineStr">
        <is>
          <t>RATING SCALE</t>
        </is>
      </c>
    </row>
    <row r="20">
      <c r="A20" s="7" t="n"/>
      <c r="B20" s="7" t="n"/>
      <c r="C20" s="7" t="n"/>
      <c r="D20" s="7" t="n"/>
      <c r="E20" s="7" t="n"/>
      <c r="F20" s="7" t="n"/>
      <c r="G20" s="7">
        <f>IF(COUNTA(B20:F20)=5,SUM(B20:F20),"")</f>
        <v/>
      </c>
      <c r="H20" s="7">
        <f>IF(COUNTA(B20:F20)&lt;5,"",INDEX({"Awareness","Desire","Knowledge","Ability","Reinforcement"},MATCH(MIN(B20:F20),B20:F20,0)))</f>
        <v/>
      </c>
      <c r="J20" s="12" t="inlineStr">
        <is>
          <t>RATING SCALE:</t>
        </is>
      </c>
    </row>
    <row r="21">
      <c r="A21" s="7" t="n"/>
      <c r="B21" s="7" t="n"/>
      <c r="C21" s="7" t="n"/>
      <c r="D21" s="7" t="n"/>
      <c r="E21" s="7" t="n"/>
      <c r="F21" s="7" t="n"/>
      <c r="G21" s="7">
        <f>IF(COUNTA(B21:F21)=5,SUM(B21:F21),"")</f>
        <v/>
      </c>
      <c r="H21" s="7">
        <f>IF(COUNTA(B21:F21)&lt;5,"",INDEX({"Awareness","Desire","Knowledge","Ability","Reinforcement"},MATCH(MIN(B21:F21),B21:F21,0)))</f>
        <v/>
      </c>
      <c r="J21" s="12" t="inlineStr"/>
    </row>
    <row r="22">
      <c r="A22" s="7" t="n"/>
      <c r="B22" s="7" t="n"/>
      <c r="C22" s="7" t="n"/>
      <c r="D22" s="7" t="n"/>
      <c r="E22" s="7" t="n"/>
      <c r="F22" s="7" t="n"/>
      <c r="G22" s="7">
        <f>IF(COUNTA(B22:F22)=5,SUM(B22:F22),"")</f>
        <v/>
      </c>
      <c r="H22" s="7">
        <f>IF(COUNTA(B22:F22)&lt;5,"",INDEX({"Awareness","Desire","Knowledge","Ability","Reinforcement"},MATCH(MIN(B22:F22),B22:F22,0)))</f>
        <v/>
      </c>
      <c r="J22" s="12" t="inlineStr">
        <is>
          <t>1 = Very Low</t>
        </is>
      </c>
    </row>
    <row r="23">
      <c r="A23" s="7" t="n"/>
      <c r="B23" s="7" t="n"/>
      <c r="C23" s="7" t="n"/>
      <c r="D23" s="7" t="n"/>
      <c r="E23" s="7" t="n"/>
      <c r="F23" s="7" t="n"/>
      <c r="G23" s="7">
        <f>IF(COUNTA(B23:F23)=5,SUM(B23:F23),"")</f>
        <v/>
      </c>
      <c r="H23" s="7">
        <f>IF(COUNTA(B23:F23)&lt;5,"",INDEX({"Awareness","Desire","Knowledge","Ability","Reinforcement"},MATCH(MIN(B23:F23),B23:F23,0)))</f>
        <v/>
      </c>
      <c r="J23" s="12" t="inlineStr">
        <is>
          <t xml:space="preserve">    Not present at all</t>
        </is>
      </c>
    </row>
    <row r="24">
      <c r="A24" s="7" t="n"/>
      <c r="B24" s="7" t="n"/>
      <c r="C24" s="7" t="n"/>
      <c r="D24" s="7" t="n"/>
      <c r="E24" s="7" t="n"/>
      <c r="F24" s="7" t="n"/>
      <c r="G24" s="7">
        <f>IF(COUNTA(B24:F24)=5,SUM(B24:F24),"")</f>
        <v/>
      </c>
      <c r="H24" s="7">
        <f>IF(COUNTA(B24:F24)&lt;5,"",INDEX({"Awareness","Desire","Knowledge","Ability","Reinforcement"},MATCH(MIN(B24:F24),B24:F24,0)))</f>
        <v/>
      </c>
      <c r="J24" s="12" t="inlineStr"/>
    </row>
    <row r="25">
      <c r="A25" s="7" t="n"/>
      <c r="B25" s="7" t="n"/>
      <c r="C25" s="7" t="n"/>
      <c r="D25" s="7" t="n"/>
      <c r="E25" s="7" t="n"/>
      <c r="F25" s="7" t="n"/>
      <c r="G25" s="7">
        <f>IF(COUNTA(B25:F25)=5,SUM(B25:F25),"")</f>
        <v/>
      </c>
      <c r="H25" s="7">
        <f>IF(COUNTA(B25:F25)&lt;5,"",INDEX({"Awareness","Desire","Knowledge","Ability","Reinforcement"},MATCH(MIN(B25:F25),B25:F25,0)))</f>
        <v/>
      </c>
      <c r="J25" s="12" t="inlineStr">
        <is>
          <t>2 = Low</t>
        </is>
      </c>
    </row>
    <row r="26">
      <c r="A26" s="7" t="n"/>
      <c r="B26" s="7" t="n"/>
      <c r="C26" s="7" t="n"/>
      <c r="D26" s="7" t="n"/>
      <c r="E26" s="7" t="n"/>
      <c r="F26" s="7" t="n"/>
      <c r="G26" s="7">
        <f>IF(COUNTA(B26:F26)=5,SUM(B26:F26),"")</f>
        <v/>
      </c>
      <c r="H26" s="7">
        <f>IF(COUNTA(B26:F26)&lt;5,"",INDEX({"Awareness","Desire","Knowledge","Ability","Reinforcement"},MATCH(MIN(B26:F26),B26:F26,0)))</f>
        <v/>
      </c>
      <c r="J26" s="12" t="inlineStr">
        <is>
          <t xml:space="preserve">    Minimal, significant gaps</t>
        </is>
      </c>
    </row>
    <row r="27">
      <c r="A27" s="7" t="n"/>
      <c r="B27" s="7" t="n"/>
      <c r="C27" s="7" t="n"/>
      <c r="D27" s="7" t="n"/>
      <c r="E27" s="7" t="n"/>
      <c r="F27" s="7" t="n"/>
      <c r="G27" s="7">
        <f>IF(COUNTA(B27:F27)=5,SUM(B27:F27),"")</f>
        <v/>
      </c>
      <c r="H27" s="7">
        <f>IF(COUNTA(B27:F27)&lt;5,"",INDEX({"Awareness","Desire","Knowledge","Ability","Reinforcement"},MATCH(MIN(B27:F27),B27:F27,0)))</f>
        <v/>
      </c>
      <c r="J27" s="12" t="inlineStr"/>
    </row>
    <row r="28">
      <c r="A28" s="7" t="n"/>
      <c r="B28" s="7" t="n"/>
      <c r="C28" s="7" t="n"/>
      <c r="D28" s="7" t="n"/>
      <c r="E28" s="7" t="n"/>
      <c r="F28" s="7" t="n"/>
      <c r="G28" s="7">
        <f>IF(COUNTA(B28:F28)=5,SUM(B28:F28),"")</f>
        <v/>
      </c>
      <c r="H28" s="7">
        <f>IF(COUNTA(B28:F28)&lt;5,"",INDEX({"Awareness","Desire","Knowledge","Ability","Reinforcement"},MATCH(MIN(B28:F28),B28:F28,0)))</f>
        <v/>
      </c>
      <c r="J28" s="12" t="inlineStr">
        <is>
          <t>3 = Moderate</t>
        </is>
      </c>
    </row>
    <row r="29">
      <c r="A29" s="7" t="n"/>
      <c r="B29" s="7" t="n"/>
      <c r="C29" s="7" t="n"/>
      <c r="D29" s="7" t="n"/>
      <c r="E29" s="7" t="n"/>
      <c r="F29" s="7" t="n"/>
      <c r="G29" s="7">
        <f>IF(COUNTA(B29:F29)=5,SUM(B29:F29),"")</f>
        <v/>
      </c>
      <c r="H29" s="7">
        <f>IF(COUNTA(B29:F29)&lt;5,"",INDEX({"Awareness","Desire","Knowledge","Ability","Reinforcement"},MATCH(MIN(B29:F29),B29:F29,0)))</f>
        <v/>
      </c>
      <c r="J29" s="12" t="inlineStr">
        <is>
          <t xml:space="preserve">    Some progress, not sufficient</t>
        </is>
      </c>
    </row>
    <row r="30">
      <c r="A30" s="7" t="n"/>
      <c r="B30" s="7" t="n"/>
      <c r="C30" s="7" t="n"/>
      <c r="D30" s="7" t="n"/>
      <c r="E30" s="7" t="n"/>
      <c r="F30" s="7" t="n"/>
      <c r="G30" s="7">
        <f>IF(COUNTA(B30:F30)=5,SUM(B30:F30),"")</f>
        <v/>
      </c>
      <c r="H30" s="7">
        <f>IF(COUNTA(B30:F30)&lt;5,"",INDEX({"Awareness","Desire","Knowledge","Ability","Reinforcement"},MATCH(MIN(B30:F30),B30:F30,0)))</f>
        <v/>
      </c>
      <c r="J30" s="12" t="inlineStr"/>
    </row>
    <row r="31">
      <c r="A31" s="7" t="n"/>
      <c r="B31" s="7" t="n"/>
      <c r="C31" s="7" t="n"/>
      <c r="D31" s="7" t="n"/>
      <c r="E31" s="7" t="n"/>
      <c r="F31" s="7" t="n"/>
      <c r="G31" s="7">
        <f>IF(COUNTA(B31:F31)=5,SUM(B31:F31),"")</f>
        <v/>
      </c>
      <c r="H31" s="7">
        <f>IF(COUNTA(B31:F31)&lt;5,"",INDEX({"Awareness","Desire","Knowledge","Ability","Reinforcement"},MATCH(MIN(B31:F31),B31:F31,0)))</f>
        <v/>
      </c>
      <c r="J31" s="12" t="inlineStr">
        <is>
          <t>4 = High</t>
        </is>
      </c>
    </row>
    <row r="32">
      <c r="J32" s="12" t="inlineStr">
        <is>
          <t xml:space="preserve">    Good level, minor gaps</t>
        </is>
      </c>
    </row>
    <row r="33">
      <c r="J33" s="12" t="inlineStr"/>
    </row>
    <row r="34">
      <c r="J34" s="12" t="inlineStr">
        <is>
          <t>5 = Very High</t>
        </is>
      </c>
    </row>
    <row r="35">
      <c r="J35" s="12" t="inlineStr">
        <is>
          <t xml:space="preserve">    Fully developed</t>
        </is>
      </c>
    </row>
    <row r="37">
      <c r="J37" s="13" t="inlineStr">
        <is>
          <t>TIPS</t>
        </is>
      </c>
    </row>
    <row r="38">
      <c r="J38" s="14" t="inlineStr">
        <is>
          <t>INTERVENTION BY GAP:</t>
        </is>
      </c>
    </row>
    <row r="39">
      <c r="J39" s="14" t="inlineStr"/>
    </row>
    <row r="40">
      <c r="J40" s="14" t="inlineStr">
        <is>
          <t>Awareness Gap:</t>
        </is>
      </c>
    </row>
    <row r="41">
      <c r="J41" s="14" t="inlineStr">
        <is>
          <t>→ More communication about WHY</t>
        </is>
      </c>
    </row>
    <row r="42">
      <c r="J42" s="14" t="inlineStr"/>
    </row>
    <row r="43">
      <c r="J43" s="14" t="inlineStr">
        <is>
          <t>Desire Gap:</t>
        </is>
      </c>
    </row>
    <row r="44">
      <c r="J44" s="14" t="inlineStr">
        <is>
          <t>→ Address WIIFM, involve in decisions</t>
        </is>
      </c>
    </row>
    <row r="45">
      <c r="J45" s="14" t="inlineStr"/>
    </row>
    <row r="46">
      <c r="J46" s="14" t="inlineStr">
        <is>
          <t>Knowledge Gap:</t>
        </is>
      </c>
    </row>
    <row r="47">
      <c r="J47" s="14" t="inlineStr">
        <is>
          <t>→ Training, documentation, demos</t>
        </is>
      </c>
    </row>
    <row r="48">
      <c r="J48" s="14" t="inlineStr"/>
    </row>
    <row r="49">
      <c r="J49" s="14" t="inlineStr">
        <is>
          <t>Ability Gap:</t>
        </is>
      </c>
    </row>
    <row r="50">
      <c r="J50" s="14" t="inlineStr">
        <is>
          <t>→ Practice, coaching, remove barriers</t>
        </is>
      </c>
    </row>
    <row r="51">
      <c r="J51" s="14" t="inlineStr"/>
    </row>
    <row r="52">
      <c r="J52" s="14" t="inlineStr">
        <is>
          <t>Reinforcement Gap:</t>
        </is>
      </c>
    </row>
    <row r="53">
      <c r="J53" s="14" t="inlineStr">
        <is>
          <t>→ Recognition, rewards, celebrate wins</t>
        </is>
      </c>
    </row>
  </sheetData>
  <dataValidations count="1">
    <dataValidation sqref="B4:F50" showDropDown="0" showInputMessage="0" showErrorMessage="0" allowBlank="0" type="list">
      <formula1>"1,2,3,4,5"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pane xSplit="11" topLeftCell="L1" activePane="topRight" state="frozen"/>
      <selection pane="topRight" activeCell="A1" sqref="A1"/>
    </sheetView>
  </sheetViews>
  <sheetFormatPr baseColWidth="8" defaultRowHeight="15"/>
  <cols>
    <col width="20" customWidth="1" min="1" max="1"/>
    <col width="15" customWidth="1" min="2" max="2"/>
    <col width="12" customWidth="1" min="3" max="3"/>
    <col width="10" customWidth="1" min="4" max="4"/>
    <col width="10" customWidth="1" min="5" max="5"/>
    <col width="12" customWidth="1" min="6" max="6"/>
    <col width="12" customWidth="1" min="7" max="7"/>
    <col width="16" customWidth="1" min="8" max="8"/>
    <col width="25" customWidth="1" min="9" max="9"/>
    <col width="12" customWidth="1" min="10" max="10"/>
    <col width="32" customWidth="1" min="12" max="12"/>
  </cols>
  <sheetData>
    <row r="1">
      <c r="A1" s="9" t="inlineStr">
        <is>
          <t>Stakeholder Analysis</t>
        </is>
      </c>
      <c r="L1" s="2" t="inlineStr">
        <is>
          <t>INSTRUCTIONS</t>
        </is>
      </c>
    </row>
    <row r="2">
      <c r="L2" s="15" t="inlineStr">
        <is>
          <t>PURPOSE:</t>
        </is>
      </c>
    </row>
    <row r="3">
      <c r="A3" s="6" t="inlineStr">
        <is>
          <t>Stakeholder</t>
        </is>
      </c>
      <c r="B3" s="6" t="inlineStr">
        <is>
          <t>Role</t>
        </is>
      </c>
      <c r="C3" s="6" t="inlineStr">
        <is>
          <t>Dept</t>
        </is>
      </c>
      <c r="D3" s="6" t="inlineStr">
        <is>
          <t>Power</t>
        </is>
      </c>
      <c r="E3" s="6" t="inlineStr">
        <is>
          <t>Interest</t>
        </is>
      </c>
      <c r="F3" s="6" t="inlineStr">
        <is>
          <t>Current</t>
        </is>
      </c>
      <c r="G3" s="6" t="inlineStr">
        <is>
          <t>Desired</t>
        </is>
      </c>
      <c r="H3" s="6" t="inlineStr">
        <is>
          <t>Strategy (Auto)</t>
        </is>
      </c>
      <c r="I3" s="6" t="inlineStr">
        <is>
          <t>Key Messages</t>
        </is>
      </c>
      <c r="J3" s="6" t="inlineStr">
        <is>
          <t>Owner</t>
        </is>
      </c>
      <c r="L3" s="15" t="inlineStr">
        <is>
          <t>Identify stakeholders and plan</t>
        </is>
      </c>
    </row>
    <row r="4">
      <c r="A4" s="10" t="n"/>
      <c r="B4" s="10" t="n"/>
      <c r="C4" s="10" t="n"/>
      <c r="D4" s="10" t="n"/>
      <c r="E4" s="10" t="n"/>
      <c r="F4" s="10" t="n"/>
      <c r="G4" s="10" t="n"/>
      <c r="H4" s="10">
        <f>IF(OR(D4="",E4=""),"",IF(AND(D4="High",E4="High"),"Manage Closely",IF(AND(D4="High",E4="Medium"),"Manage Closely",IF(AND(D4="High",E4="Low"),"Keep Satisfied",IF(AND(D4="Medium",E4="High"),"Keep Informed",IF(AND(D4="Medium",E4="Medium"),"Keep Informed",IF(AND(D4="Medium",E4="Low"),"Monitor",IF(AND(D4="Low",E4="High"),"Keep Informed",IF(AND(D4="Low",E4="Medium"),"Monitor","Monitor")))))))))</f>
        <v/>
      </c>
      <c r="I4" s="10" t="n"/>
      <c r="J4" s="10" t="n"/>
      <c r="L4" s="15" t="inlineStr">
        <is>
          <t>engagement based on Power/Interest.</t>
        </is>
      </c>
    </row>
    <row r="5">
      <c r="A5" s="10" t="n"/>
      <c r="B5" s="10" t="n"/>
      <c r="C5" s="10" t="n"/>
      <c r="D5" s="10" t="n"/>
      <c r="E5" s="10" t="n"/>
      <c r="F5" s="10" t="n"/>
      <c r="G5" s="10" t="n"/>
      <c r="H5" s="10">
        <f>IF(OR(D5="",E5=""),"",IF(AND(D5="High",E5="High"),"Manage Closely",IF(AND(D5="High",E5="Medium"),"Manage Closely",IF(AND(D5="High",E5="Low"),"Keep Satisfied",IF(AND(D5="Medium",E5="High"),"Keep Informed",IF(AND(D5="Medium",E5="Medium"),"Keep Informed",IF(AND(D5="Medium",E5="Low"),"Monitor",IF(AND(D5="Low",E5="High"),"Keep Informed",IF(AND(D5="Low",E5="Medium"),"Monitor","Monitor")))))))))</f>
        <v/>
      </c>
      <c r="I5" s="10" t="n"/>
      <c r="J5" s="10" t="n"/>
      <c r="L5" s="15" t="inlineStr"/>
    </row>
    <row r="6">
      <c r="A6" s="10" t="n"/>
      <c r="B6" s="10" t="n"/>
      <c r="C6" s="10" t="n"/>
      <c r="D6" s="10" t="n"/>
      <c r="E6" s="10" t="n"/>
      <c r="F6" s="10" t="n"/>
      <c r="G6" s="10" t="n"/>
      <c r="H6" s="10">
        <f>IF(OR(D6="",E6=""),"",IF(AND(D6="High",E6="High"),"Manage Closely",IF(AND(D6="High",E6="Medium"),"Manage Closely",IF(AND(D6="High",E6="Low"),"Keep Satisfied",IF(AND(D6="Medium",E6="High"),"Keep Informed",IF(AND(D6="Medium",E6="Medium"),"Keep Informed",IF(AND(D6="Medium",E6="Low"),"Monitor",IF(AND(D6="Low",E6="High"),"Keep Informed",IF(AND(D6="Low",E6="Medium"),"Monitor","Monitor")))))))))</f>
        <v/>
      </c>
      <c r="I6" s="10" t="n"/>
      <c r="J6" s="10" t="n"/>
      <c r="L6" s="15" t="inlineStr">
        <is>
          <t>HOW TO USE:</t>
        </is>
      </c>
    </row>
    <row r="7">
      <c r="A7" s="10" t="n"/>
      <c r="B7" s="10" t="n"/>
      <c r="C7" s="10" t="n"/>
      <c r="D7" s="10" t="n"/>
      <c r="E7" s="10" t="n"/>
      <c r="F7" s="10" t="n"/>
      <c r="G7" s="10" t="n"/>
      <c r="H7" s="10">
        <f>IF(OR(D7="",E7=""),"",IF(AND(D7="High",E7="High"),"Manage Closely",IF(AND(D7="High",E7="Medium"),"Manage Closely",IF(AND(D7="High",E7="Low"),"Keep Satisfied",IF(AND(D7="Medium",E7="High"),"Keep Informed",IF(AND(D7="Medium",E7="Medium"),"Keep Informed",IF(AND(D7="Medium",E7="Low"),"Monitor",IF(AND(D7="Low",E7="High"),"Keep Informed",IF(AND(D7="Low",E7="Medium"),"Monitor","Monitor")))))))))</f>
        <v/>
      </c>
      <c r="I7" s="10" t="n"/>
      <c r="J7" s="10" t="n"/>
      <c r="L7" s="15" t="inlineStr">
        <is>
          <t>1. List all stakeholders</t>
        </is>
      </c>
    </row>
    <row r="8">
      <c r="A8" s="10" t="n"/>
      <c r="B8" s="10" t="n"/>
      <c r="C8" s="10" t="n"/>
      <c r="D8" s="10" t="n"/>
      <c r="E8" s="10" t="n"/>
      <c r="F8" s="10" t="n"/>
      <c r="G8" s="10" t="n"/>
      <c r="H8" s="10">
        <f>IF(OR(D8="",E8=""),"",IF(AND(D8="High",E8="High"),"Manage Closely",IF(AND(D8="High",E8="Medium"),"Manage Closely",IF(AND(D8="High",E8="Low"),"Keep Satisfied",IF(AND(D8="Medium",E8="High"),"Keep Informed",IF(AND(D8="Medium",E8="Medium"),"Keep Informed",IF(AND(D8="Medium",E8="Low"),"Monitor",IF(AND(D8="Low",E8="High"),"Keep Informed",IF(AND(D8="Low",E8="Medium"),"Monitor","Monitor")))))))))</f>
        <v/>
      </c>
      <c r="I8" s="10" t="n"/>
      <c r="J8" s="10" t="n"/>
      <c r="L8" s="15" t="inlineStr">
        <is>
          <t>2. Select Power level (H/M/L)</t>
        </is>
      </c>
    </row>
    <row r="9">
      <c r="A9" s="10" t="n"/>
      <c r="B9" s="10" t="n"/>
      <c r="C9" s="10" t="n"/>
      <c r="D9" s="10" t="n"/>
      <c r="E9" s="10" t="n"/>
      <c r="F9" s="10" t="n"/>
      <c r="G9" s="10" t="n"/>
      <c r="H9" s="10">
        <f>IF(OR(D9="",E9=""),"",IF(AND(D9="High",E9="High"),"Manage Closely",IF(AND(D9="High",E9="Medium"),"Manage Closely",IF(AND(D9="High",E9="Low"),"Keep Satisfied",IF(AND(D9="Medium",E9="High"),"Keep Informed",IF(AND(D9="Medium",E9="Medium"),"Keep Informed",IF(AND(D9="Medium",E9="Low"),"Monitor",IF(AND(D9="Low",E9="High"),"Keep Informed",IF(AND(D9="Low",E9="Medium"),"Monitor","Monitor")))))))))</f>
        <v/>
      </c>
      <c r="I9" s="10" t="n"/>
      <c r="J9" s="10" t="n"/>
      <c r="L9" s="15" t="inlineStr">
        <is>
          <t>3. Select Interest level (H/M/L)</t>
        </is>
      </c>
    </row>
    <row r="10">
      <c r="A10" s="10" t="n"/>
      <c r="B10" s="10" t="n"/>
      <c r="C10" s="10" t="n"/>
      <c r="D10" s="10" t="n"/>
      <c r="E10" s="10" t="n"/>
      <c r="F10" s="10" t="n"/>
      <c r="G10" s="10" t="n"/>
      <c r="H10" s="10">
        <f>IF(OR(D10="",E10=""),"",IF(AND(D10="High",E10="High"),"Manage Closely",IF(AND(D10="High",E10="Medium"),"Manage Closely",IF(AND(D10="High",E10="Low"),"Keep Satisfied",IF(AND(D10="Medium",E10="High"),"Keep Informed",IF(AND(D10="Medium",E10="Medium"),"Keep Informed",IF(AND(D10="Medium",E10="Low"),"Monitor",IF(AND(D10="Low",E10="High"),"Keep Informed",IF(AND(D10="Low",E10="Medium"),"Monitor","Monitor")))))))))</f>
        <v/>
      </c>
      <c r="I10" s="10" t="n"/>
      <c r="J10" s="10" t="n"/>
      <c r="L10" s="15" t="inlineStr">
        <is>
          <t>4. Strategy AUTO-CALCULATES!</t>
        </is>
      </c>
    </row>
    <row r="11">
      <c r="A11" s="10" t="n"/>
      <c r="B11" s="10" t="n"/>
      <c r="C11" s="10" t="n"/>
      <c r="D11" s="10" t="n"/>
      <c r="E11" s="10" t="n"/>
      <c r="F11" s="10" t="n"/>
      <c r="G11" s="10" t="n"/>
      <c r="H11" s="10">
        <f>IF(OR(D11="",E11=""),"",IF(AND(D11="High",E11="High"),"Manage Closely",IF(AND(D11="High",E11="Medium"),"Manage Closely",IF(AND(D11="High",E11="Low"),"Keep Satisfied",IF(AND(D11="Medium",E11="High"),"Keep Informed",IF(AND(D11="Medium",E11="Medium"),"Keep Informed",IF(AND(D11="Medium",E11="Low"),"Monitor",IF(AND(D11="Low",E11="High"),"Keep Informed",IF(AND(D11="Low",E11="Medium"),"Monitor","Monitor")))))))))</f>
        <v/>
      </c>
      <c r="I11" s="10" t="n"/>
      <c r="J11" s="10" t="n"/>
      <c r="L11" s="15" t="inlineStr">
        <is>
          <t>5. Set Current and Desired state</t>
        </is>
      </c>
    </row>
    <row r="12">
      <c r="A12" s="10" t="n"/>
      <c r="B12" s="10" t="n"/>
      <c r="C12" s="10" t="n"/>
      <c r="D12" s="10" t="n"/>
      <c r="E12" s="10" t="n"/>
      <c r="F12" s="10" t="n"/>
      <c r="G12" s="10" t="n"/>
      <c r="H12" s="10">
        <f>IF(OR(D12="",E12=""),"",IF(AND(D12="High",E12="High"),"Manage Closely",IF(AND(D12="High",E12="Medium"),"Manage Closely",IF(AND(D12="High",E12="Low"),"Keep Satisfied",IF(AND(D12="Medium",E12="High"),"Keep Informed",IF(AND(D12="Medium",E12="Medium"),"Keep Informed",IF(AND(D12="Medium",E12="Low"),"Monitor",IF(AND(D12="Low",E12="High"),"Keep Informed",IF(AND(D12="Low",E12="Medium"),"Monitor","Monitor")))))))))</f>
        <v/>
      </c>
      <c r="I12" s="10" t="n"/>
      <c r="J12" s="10" t="n"/>
      <c r="L12" s="15" t="inlineStr">
        <is>
          <t>6. Add key messages and owner</t>
        </is>
      </c>
    </row>
    <row r="13">
      <c r="A13" s="10" t="n"/>
      <c r="B13" s="10" t="n"/>
      <c r="C13" s="10" t="n"/>
      <c r="D13" s="10" t="n"/>
      <c r="E13" s="10" t="n"/>
      <c r="F13" s="10" t="n"/>
      <c r="G13" s="10" t="n"/>
      <c r="H13" s="10">
        <f>IF(OR(D13="",E13=""),"",IF(AND(D13="High",E13="High"),"Manage Closely",IF(AND(D13="High",E13="Medium"),"Manage Closely",IF(AND(D13="High",E13="Low"),"Keep Satisfied",IF(AND(D13="Medium",E13="High"),"Keep Informed",IF(AND(D13="Medium",E13="Medium"),"Keep Informed",IF(AND(D13="Medium",E13="Low"),"Monitor",IF(AND(D13="Low",E13="High"),"Keep Informed",IF(AND(D13="Low",E13="Medium"),"Monitor","Monitor")))))))))</f>
        <v/>
      </c>
      <c r="I13" s="10" t="n"/>
      <c r="J13" s="10" t="n"/>
      <c r="L13" s="15" t="inlineStr"/>
    </row>
    <row r="14">
      <c r="A14" s="10" t="n"/>
      <c r="B14" s="10" t="n"/>
      <c r="C14" s="10" t="n"/>
      <c r="D14" s="10" t="n"/>
      <c r="E14" s="10" t="n"/>
      <c r="F14" s="10" t="n"/>
      <c r="G14" s="10" t="n"/>
      <c r="H14" s="10">
        <f>IF(OR(D14="",E14=""),"",IF(AND(D14="High",E14="High"),"Manage Closely",IF(AND(D14="High",E14="Medium"),"Manage Closely",IF(AND(D14="High",E14="Low"),"Keep Satisfied",IF(AND(D14="Medium",E14="High"),"Keep Informed",IF(AND(D14="Medium",E14="Medium"),"Keep Informed",IF(AND(D14="Medium",E14="Low"),"Monitor",IF(AND(D14="Low",E14="High"),"Keep Informed",IF(AND(D14="Low",E14="Medium"),"Monitor","Monitor")))))))))</f>
        <v/>
      </c>
      <c r="I14" s="10" t="n"/>
      <c r="J14" s="10" t="n"/>
      <c r="L14" s="15" t="inlineStr">
        <is>
          <t>POWER = Influence over outcome</t>
        </is>
      </c>
    </row>
    <row r="15">
      <c r="A15" s="10" t="n"/>
      <c r="B15" s="10" t="n"/>
      <c r="C15" s="10" t="n"/>
      <c r="D15" s="10" t="n"/>
      <c r="E15" s="10" t="n"/>
      <c r="F15" s="10" t="n"/>
      <c r="G15" s="10" t="n"/>
      <c r="H15" s="10">
        <f>IF(OR(D15="",E15=""),"",IF(AND(D15="High",E15="High"),"Manage Closely",IF(AND(D15="High",E15="Medium"),"Manage Closely",IF(AND(D15="High",E15="Low"),"Keep Satisfied",IF(AND(D15="Medium",E15="High"),"Keep Informed",IF(AND(D15="Medium",E15="Medium"),"Keep Informed",IF(AND(D15="Medium",E15="Low"),"Monitor",IF(AND(D15="Low",E15="High"),"Keep Informed",IF(AND(D15="Low",E15="Medium"),"Monitor","Monitor")))))))))</f>
        <v/>
      </c>
      <c r="I15" s="10" t="n"/>
      <c r="J15" s="10" t="n"/>
      <c r="L15" s="15" t="inlineStr">
        <is>
          <t>INTEREST = Impact on them</t>
        </is>
      </c>
    </row>
    <row r="16">
      <c r="A16" s="10" t="n"/>
      <c r="B16" s="10" t="n"/>
      <c r="C16" s="10" t="n"/>
      <c r="D16" s="10" t="n"/>
      <c r="E16" s="10" t="n"/>
      <c r="F16" s="10" t="n"/>
      <c r="G16" s="10" t="n"/>
      <c r="H16" s="10">
        <f>IF(OR(D16="",E16=""),"",IF(AND(D16="High",E16="High"),"Manage Closely",IF(AND(D16="High",E16="Medium"),"Manage Closely",IF(AND(D16="High",E16="Low"),"Keep Satisfied",IF(AND(D16="Medium",E16="High"),"Keep Informed",IF(AND(D16="Medium",E16="Medium"),"Keep Informed",IF(AND(D16="Medium",E16="Low"),"Monitor",IF(AND(D16="Low",E16="High"),"Keep Informed",IF(AND(D16="Low",E16="Medium"),"Monitor","Monitor")))))))))</f>
        <v/>
      </c>
      <c r="I16" s="10" t="n"/>
      <c r="J16" s="10" t="n"/>
    </row>
    <row r="17">
      <c r="A17" s="10" t="n"/>
      <c r="B17" s="10" t="n"/>
      <c r="C17" s="10" t="n"/>
      <c r="D17" s="10" t="n"/>
      <c r="E17" s="10" t="n"/>
      <c r="F17" s="10" t="n"/>
      <c r="G17" s="10" t="n"/>
      <c r="H17" s="10">
        <f>IF(OR(D17="",E17=""),"",IF(AND(D17="High",E17="High"),"Manage Closely",IF(AND(D17="High",E17="Medium"),"Manage Closely",IF(AND(D17="High",E17="Low"),"Keep Satisfied",IF(AND(D17="Medium",E17="High"),"Keep Informed",IF(AND(D17="Medium",E17="Medium"),"Keep Informed",IF(AND(D17="Medium",E17="Low"),"Monitor",IF(AND(D17="Low",E17="High"),"Keep Informed",IF(AND(D17="Low",E17="Medium"),"Monitor","Monitor")))))))))</f>
        <v/>
      </c>
      <c r="I17" s="10" t="n"/>
      <c r="J17" s="10" t="n"/>
      <c r="L17" s="11" t="inlineStr">
        <is>
          <t>STRATEGY REFERENCE</t>
        </is>
      </c>
    </row>
    <row r="18">
      <c r="A18" s="10" t="n"/>
      <c r="B18" s="10" t="n"/>
      <c r="C18" s="10" t="n"/>
      <c r="D18" s="10" t="n"/>
      <c r="E18" s="10" t="n"/>
      <c r="F18" s="10" t="n"/>
      <c r="G18" s="10" t="n"/>
      <c r="H18" s="10">
        <f>IF(OR(D18="",E18=""),"",IF(AND(D18="High",E18="High"),"Manage Closely",IF(AND(D18="High",E18="Medium"),"Manage Closely",IF(AND(D18="High",E18="Low"),"Keep Satisfied",IF(AND(D18="Medium",E18="High"),"Keep Informed",IF(AND(D18="Medium",E18="Medium"),"Keep Informed",IF(AND(D18="Medium",E18="Low"),"Monitor",IF(AND(D18="Low",E18="High"),"Keep Informed",IF(AND(D18="Low",E18="Medium"),"Monitor","Monitor")))))))))</f>
        <v/>
      </c>
      <c r="I18" s="10" t="n"/>
      <c r="J18" s="10" t="n"/>
      <c r="L18" s="16" t="inlineStr">
        <is>
          <t>POWER/INTEREST GRID:</t>
        </is>
      </c>
    </row>
    <row r="19">
      <c r="A19" s="10" t="n"/>
      <c r="B19" s="10" t="n"/>
      <c r="C19" s="10" t="n"/>
      <c r="D19" s="10" t="n"/>
      <c r="E19" s="10" t="n"/>
      <c r="F19" s="10" t="n"/>
      <c r="G19" s="10" t="n"/>
      <c r="H19" s="10">
        <f>IF(OR(D19="",E19=""),"",IF(AND(D19="High",E19="High"),"Manage Closely",IF(AND(D19="High",E19="Medium"),"Manage Closely",IF(AND(D19="High",E19="Low"),"Keep Satisfied",IF(AND(D19="Medium",E19="High"),"Keep Informed",IF(AND(D19="Medium",E19="Medium"),"Keep Informed",IF(AND(D19="Medium",E19="Low"),"Monitor",IF(AND(D19="Low",E19="High"),"Keep Informed",IF(AND(D19="Low",E19="Medium"),"Monitor","Monitor")))))))))</f>
        <v/>
      </c>
      <c r="I19" s="10" t="n"/>
      <c r="J19" s="10" t="n"/>
      <c r="L19" s="16" t="inlineStr"/>
    </row>
    <row r="20">
      <c r="A20" s="10" t="n"/>
      <c r="B20" s="10" t="n"/>
      <c r="C20" s="10" t="n"/>
      <c r="D20" s="10" t="n"/>
      <c r="E20" s="10" t="n"/>
      <c r="F20" s="10" t="n"/>
      <c r="G20" s="10" t="n"/>
      <c r="H20" s="10">
        <f>IF(OR(D20="",E20=""),"",IF(AND(D20="High",E20="High"),"Manage Closely",IF(AND(D20="High",E20="Medium"),"Manage Closely",IF(AND(D20="High",E20="Low"),"Keep Satisfied",IF(AND(D20="Medium",E20="High"),"Keep Informed",IF(AND(D20="Medium",E20="Medium"),"Keep Informed",IF(AND(D20="Medium",E20="Low"),"Monitor",IF(AND(D20="Low",E20="High"),"Keep Informed",IF(AND(D20="Low",E20="Medium"),"Monitor","Monitor")))))))))</f>
        <v/>
      </c>
      <c r="I20" s="10" t="n"/>
      <c r="J20" s="10" t="n"/>
      <c r="L20" s="16" t="inlineStr">
        <is>
          <t>High Power + High Interest</t>
        </is>
      </c>
    </row>
    <row r="21">
      <c r="A21" s="10" t="n"/>
      <c r="B21" s="10" t="n"/>
      <c r="C21" s="10" t="n"/>
      <c r="D21" s="10" t="n"/>
      <c r="E21" s="10" t="n"/>
      <c r="F21" s="10" t="n"/>
      <c r="G21" s="10" t="n"/>
      <c r="H21" s="10">
        <f>IF(OR(D21="",E21=""),"",IF(AND(D21="High",E21="High"),"Manage Closely",IF(AND(D21="High",E21="Medium"),"Manage Closely",IF(AND(D21="High",E21="Low"),"Keep Satisfied",IF(AND(D21="Medium",E21="High"),"Keep Informed",IF(AND(D21="Medium",E21="Medium"),"Keep Informed",IF(AND(D21="Medium",E21="Low"),"Monitor",IF(AND(D21="Low",E21="High"),"Keep Informed",IF(AND(D21="Low",E21="Medium"),"Monitor","Monitor")))))))))</f>
        <v/>
      </c>
      <c r="I21" s="10" t="n"/>
      <c r="J21" s="10" t="n"/>
      <c r="L21" s="16" t="inlineStr">
        <is>
          <t>→ MANAGE CLOSELY</t>
        </is>
      </c>
    </row>
    <row r="22">
      <c r="A22" s="10" t="n"/>
      <c r="B22" s="10" t="n"/>
      <c r="C22" s="10" t="n"/>
      <c r="D22" s="10" t="n"/>
      <c r="E22" s="10" t="n"/>
      <c r="F22" s="10" t="n"/>
      <c r="G22" s="10" t="n"/>
      <c r="H22" s="10">
        <f>IF(OR(D22="",E22=""),"",IF(AND(D22="High",E22="High"),"Manage Closely",IF(AND(D22="High",E22="Medium"),"Manage Closely",IF(AND(D22="High",E22="Low"),"Keep Satisfied",IF(AND(D22="Medium",E22="High"),"Keep Informed",IF(AND(D22="Medium",E22="Medium"),"Keep Informed",IF(AND(D22="Medium",E22="Low"),"Monitor",IF(AND(D22="Low",E22="High"),"Keep Informed",IF(AND(D22="Low",E22="Medium"),"Monitor","Monitor")))))))))</f>
        <v/>
      </c>
      <c r="I22" s="10" t="n"/>
      <c r="J22" s="10" t="n"/>
      <c r="L22" s="16" t="inlineStr">
        <is>
          <t xml:space="preserve">   Key players, deep engagement</t>
        </is>
      </c>
    </row>
    <row r="23">
      <c r="A23" s="10" t="n"/>
      <c r="B23" s="10" t="n"/>
      <c r="C23" s="10" t="n"/>
      <c r="D23" s="10" t="n"/>
      <c r="E23" s="10" t="n"/>
      <c r="F23" s="10" t="n"/>
      <c r="G23" s="10" t="n"/>
      <c r="H23" s="10">
        <f>IF(OR(D23="",E23=""),"",IF(AND(D23="High",E23="High"),"Manage Closely",IF(AND(D23="High",E23="Medium"),"Manage Closely",IF(AND(D23="High",E23="Low"),"Keep Satisfied",IF(AND(D23="Medium",E23="High"),"Keep Informed",IF(AND(D23="Medium",E23="Medium"),"Keep Informed",IF(AND(D23="Medium",E23="Low"),"Monitor",IF(AND(D23="Low",E23="High"),"Keep Informed",IF(AND(D23="Low",E23="Medium"),"Monitor","Monitor")))))))))</f>
        <v/>
      </c>
      <c r="I23" s="10" t="n"/>
      <c r="J23" s="10" t="n"/>
      <c r="L23" s="16" t="inlineStr"/>
    </row>
    <row r="24">
      <c r="A24" s="10" t="n"/>
      <c r="B24" s="10" t="n"/>
      <c r="C24" s="10" t="n"/>
      <c r="D24" s="10" t="n"/>
      <c r="E24" s="10" t="n"/>
      <c r="F24" s="10" t="n"/>
      <c r="G24" s="10" t="n"/>
      <c r="H24" s="10">
        <f>IF(OR(D24="",E24=""),"",IF(AND(D24="High",E24="High"),"Manage Closely",IF(AND(D24="High",E24="Medium"),"Manage Closely",IF(AND(D24="High",E24="Low"),"Keep Satisfied",IF(AND(D24="Medium",E24="High"),"Keep Informed",IF(AND(D24="Medium",E24="Medium"),"Keep Informed",IF(AND(D24="Medium",E24="Low"),"Monitor",IF(AND(D24="Low",E24="High"),"Keep Informed",IF(AND(D24="Low",E24="Medium"),"Monitor","Monitor")))))))))</f>
        <v/>
      </c>
      <c r="I24" s="10" t="n"/>
      <c r="J24" s="10" t="n"/>
      <c r="L24" s="16" t="inlineStr">
        <is>
          <t>High Power + Low Interest</t>
        </is>
      </c>
    </row>
    <row r="25">
      <c r="A25" s="10" t="n"/>
      <c r="B25" s="10" t="n"/>
      <c r="C25" s="10" t="n"/>
      <c r="D25" s="10" t="n"/>
      <c r="E25" s="10" t="n"/>
      <c r="F25" s="10" t="n"/>
      <c r="G25" s="10" t="n"/>
      <c r="H25" s="10">
        <f>IF(OR(D25="",E25=""),"",IF(AND(D25="High",E25="High"),"Manage Closely",IF(AND(D25="High",E25="Medium"),"Manage Closely",IF(AND(D25="High",E25="Low"),"Keep Satisfied",IF(AND(D25="Medium",E25="High"),"Keep Informed",IF(AND(D25="Medium",E25="Medium"),"Keep Informed",IF(AND(D25="Medium",E25="Low"),"Monitor",IF(AND(D25="Low",E25="High"),"Keep Informed",IF(AND(D25="Low",E25="Medium"),"Monitor","Monitor")))))))))</f>
        <v/>
      </c>
      <c r="I25" s="10" t="n"/>
      <c r="J25" s="10" t="n"/>
      <c r="L25" s="16" t="inlineStr">
        <is>
          <t>→ KEEP SATISFIED</t>
        </is>
      </c>
    </row>
    <row r="26">
      <c r="A26" s="10" t="n"/>
      <c r="B26" s="10" t="n"/>
      <c r="C26" s="10" t="n"/>
      <c r="D26" s="10" t="n"/>
      <c r="E26" s="10" t="n"/>
      <c r="F26" s="10" t="n"/>
      <c r="G26" s="10" t="n"/>
      <c r="H26" s="10">
        <f>IF(OR(D26="",E26=""),"",IF(AND(D26="High",E26="High"),"Manage Closely",IF(AND(D26="High",E26="Medium"),"Manage Closely",IF(AND(D26="High",E26="Low"),"Keep Satisfied",IF(AND(D26="Medium",E26="High"),"Keep Informed",IF(AND(D26="Medium",E26="Medium"),"Keep Informed",IF(AND(D26="Medium",E26="Low"),"Monitor",IF(AND(D26="Low",E26="High"),"Keep Informed",IF(AND(D26="Low",E26="Medium"),"Monitor","Monitor")))))))))</f>
        <v/>
      </c>
      <c r="I26" s="10" t="n"/>
      <c r="J26" s="10" t="n"/>
      <c r="L26" s="16" t="inlineStr">
        <is>
          <t xml:space="preserve">   Inform, don't overwhelm</t>
        </is>
      </c>
    </row>
    <row r="27">
      <c r="A27" s="10" t="n"/>
      <c r="B27" s="10" t="n"/>
      <c r="C27" s="10" t="n"/>
      <c r="D27" s="10" t="n"/>
      <c r="E27" s="10" t="n"/>
      <c r="F27" s="10" t="n"/>
      <c r="G27" s="10" t="n"/>
      <c r="H27" s="10">
        <f>IF(OR(D27="",E27=""),"",IF(AND(D27="High",E27="High"),"Manage Closely",IF(AND(D27="High",E27="Medium"),"Manage Closely",IF(AND(D27="High",E27="Low"),"Keep Satisfied",IF(AND(D27="Medium",E27="High"),"Keep Informed",IF(AND(D27="Medium",E27="Medium"),"Keep Informed",IF(AND(D27="Medium",E27="Low"),"Monitor",IF(AND(D27="Low",E27="High"),"Keep Informed",IF(AND(D27="Low",E27="Medium"),"Monitor","Monitor")))))))))</f>
        <v/>
      </c>
      <c r="I27" s="10" t="n"/>
      <c r="J27" s="10" t="n"/>
      <c r="L27" s="16" t="inlineStr"/>
    </row>
    <row r="28">
      <c r="A28" s="10" t="n"/>
      <c r="B28" s="10" t="n"/>
      <c r="C28" s="10" t="n"/>
      <c r="D28" s="10" t="n"/>
      <c r="E28" s="10" t="n"/>
      <c r="F28" s="10" t="n"/>
      <c r="G28" s="10" t="n"/>
      <c r="H28" s="10">
        <f>IF(OR(D28="",E28=""),"",IF(AND(D28="High",E28="High"),"Manage Closely",IF(AND(D28="High",E28="Medium"),"Manage Closely",IF(AND(D28="High",E28="Low"),"Keep Satisfied",IF(AND(D28="Medium",E28="High"),"Keep Informed",IF(AND(D28="Medium",E28="Medium"),"Keep Informed",IF(AND(D28="Medium",E28="Low"),"Monitor",IF(AND(D28="Low",E28="High"),"Keep Informed",IF(AND(D28="Low",E28="Medium"),"Monitor","Monitor")))))))))</f>
        <v/>
      </c>
      <c r="I28" s="10" t="n"/>
      <c r="J28" s="10" t="n"/>
      <c r="L28" s="16" t="inlineStr">
        <is>
          <t>Low Power + High Interest</t>
        </is>
      </c>
    </row>
    <row r="29">
      <c r="A29" s="10" t="n"/>
      <c r="B29" s="10" t="n"/>
      <c r="C29" s="10" t="n"/>
      <c r="D29" s="10" t="n"/>
      <c r="E29" s="10" t="n"/>
      <c r="F29" s="10" t="n"/>
      <c r="G29" s="10" t="n"/>
      <c r="H29" s="10">
        <f>IF(OR(D29="",E29=""),"",IF(AND(D29="High",E29="High"),"Manage Closely",IF(AND(D29="High",E29="Medium"),"Manage Closely",IF(AND(D29="High",E29="Low"),"Keep Satisfied",IF(AND(D29="Medium",E29="High"),"Keep Informed",IF(AND(D29="Medium",E29="Medium"),"Keep Informed",IF(AND(D29="Medium",E29="Low"),"Monitor",IF(AND(D29="Low",E29="High"),"Keep Informed",IF(AND(D29="Low",E29="Medium"),"Monitor","Monitor")))))))))</f>
        <v/>
      </c>
      <c r="I29" s="10" t="n"/>
      <c r="J29" s="10" t="n"/>
      <c r="L29" s="16" t="inlineStr">
        <is>
          <t>→ KEEP INFORMED</t>
        </is>
      </c>
    </row>
    <row r="30">
      <c r="A30" s="10" t="n"/>
      <c r="B30" s="10" t="n"/>
      <c r="C30" s="10" t="n"/>
      <c r="D30" s="10" t="n"/>
      <c r="E30" s="10" t="n"/>
      <c r="F30" s="10" t="n"/>
      <c r="G30" s="10" t="n"/>
      <c r="H30" s="10">
        <f>IF(OR(D30="",E30=""),"",IF(AND(D30="High",E30="High"),"Manage Closely",IF(AND(D30="High",E30="Medium"),"Manage Closely",IF(AND(D30="High",E30="Low"),"Keep Satisfied",IF(AND(D30="Medium",E30="High"),"Keep Informed",IF(AND(D30="Medium",E30="Medium"),"Keep Informed",IF(AND(D30="Medium",E30="Low"),"Monitor",IF(AND(D30="Low",E30="High"),"Keep Informed",IF(AND(D30="Low",E30="Medium"),"Monitor","Monitor")))))))))</f>
        <v/>
      </c>
      <c r="I30" s="10" t="n"/>
      <c r="J30" s="10" t="n"/>
      <c r="L30" s="16" t="inlineStr">
        <is>
          <t xml:space="preserve">   Good feedback source</t>
        </is>
      </c>
    </row>
    <row r="31">
      <c r="A31" s="10" t="n"/>
      <c r="B31" s="10" t="n"/>
      <c r="C31" s="10" t="n"/>
      <c r="D31" s="10" t="n"/>
      <c r="E31" s="10" t="n"/>
      <c r="F31" s="10" t="n"/>
      <c r="G31" s="10" t="n"/>
      <c r="H31" s="10">
        <f>IF(OR(D31="",E31=""),"",IF(AND(D31="High",E31="High"),"Manage Closely",IF(AND(D31="High",E31="Medium"),"Manage Closely",IF(AND(D31="High",E31="Low"),"Keep Satisfied",IF(AND(D31="Medium",E31="High"),"Keep Informed",IF(AND(D31="Medium",E31="Medium"),"Keep Informed",IF(AND(D31="Medium",E31="Low"),"Monitor",IF(AND(D31="Low",E31="High"),"Keep Informed",IF(AND(D31="Low",E31="Medium"),"Monitor","Monitor")))))))))</f>
        <v/>
      </c>
      <c r="I31" s="10" t="n"/>
      <c r="J31" s="10" t="n"/>
      <c r="L31" s="16" t="inlineStr"/>
    </row>
    <row r="32">
      <c r="A32" s="10" t="n"/>
      <c r="B32" s="10" t="n"/>
      <c r="C32" s="10" t="n"/>
      <c r="D32" s="10" t="n"/>
      <c r="E32" s="10" t="n"/>
      <c r="F32" s="10" t="n"/>
      <c r="G32" s="10" t="n"/>
      <c r="H32" s="10">
        <f>IF(OR(D32="",E32=""),"",IF(AND(D32="High",E32="High"),"Manage Closely",IF(AND(D32="High",E32="Medium"),"Manage Closely",IF(AND(D32="High",E32="Low"),"Keep Satisfied",IF(AND(D32="Medium",E32="High"),"Keep Informed",IF(AND(D32="Medium",E32="Medium"),"Keep Informed",IF(AND(D32="Medium",E32="Low"),"Monitor",IF(AND(D32="Low",E32="High"),"Keep Informed",IF(AND(D32="Low",E32="Medium"),"Monitor","Monitor")))))))))</f>
        <v/>
      </c>
      <c r="I32" s="10" t="n"/>
      <c r="J32" s="10" t="n"/>
      <c r="L32" s="16" t="inlineStr">
        <is>
          <t>Low Power + Low Interest</t>
        </is>
      </c>
    </row>
    <row r="33">
      <c r="A33" s="10" t="n"/>
      <c r="B33" s="10" t="n"/>
      <c r="C33" s="10" t="n"/>
      <c r="D33" s="10" t="n"/>
      <c r="E33" s="10" t="n"/>
      <c r="F33" s="10" t="n"/>
      <c r="G33" s="10" t="n"/>
      <c r="H33" s="10">
        <f>IF(OR(D33="",E33=""),"",IF(AND(D33="High",E33="High"),"Manage Closely",IF(AND(D33="High",E33="Medium"),"Manage Closely",IF(AND(D33="High",E33="Low"),"Keep Satisfied",IF(AND(D33="Medium",E33="High"),"Keep Informed",IF(AND(D33="Medium",E33="Medium"),"Keep Informed",IF(AND(D33="Medium",E33="Low"),"Monitor",IF(AND(D33="Low",E33="High"),"Keep Informed",IF(AND(D33="Low",E33="Medium"),"Monitor","Monitor")))))))))</f>
        <v/>
      </c>
      <c r="I33" s="10" t="n"/>
      <c r="J33" s="10" t="n"/>
      <c r="L33" s="16" t="inlineStr">
        <is>
          <t>→ MONITOR</t>
        </is>
      </c>
    </row>
    <row r="34">
      <c r="L34" s="16" t="inlineStr">
        <is>
          <t xml:space="preserve">   Minimal effort needed</t>
        </is>
      </c>
    </row>
    <row r="36">
      <c r="L36" s="13" t="inlineStr">
        <is>
          <t>TIPS</t>
        </is>
      </c>
    </row>
    <row r="37">
      <c r="L37" s="17" t="inlineStr">
        <is>
          <t>STATE PROGRESSION:</t>
        </is>
      </c>
    </row>
    <row r="38">
      <c r="L38" s="17" t="inlineStr"/>
    </row>
    <row r="39">
      <c r="L39" s="17" t="inlineStr">
        <is>
          <t>Unaware → Aware → Understanding</t>
        </is>
      </c>
    </row>
    <row r="40">
      <c r="L40" s="17" t="inlineStr">
        <is>
          <t>→ Buy-in → Committed → Advocating</t>
        </is>
      </c>
    </row>
    <row r="41">
      <c r="L41" s="17" t="inlineStr"/>
    </row>
    <row r="42">
      <c r="L42" s="17" t="inlineStr">
        <is>
          <t>Move stakeholders through</t>
        </is>
      </c>
    </row>
    <row r="43">
      <c r="L43" s="17" t="inlineStr">
        <is>
          <t>states based on their strategy.</t>
        </is>
      </c>
    </row>
    <row r="44">
      <c r="L44" s="17" t="inlineStr"/>
    </row>
    <row r="45">
      <c r="L45" s="17" t="inlineStr">
        <is>
          <t>TIP: Update monthly</t>
        </is>
      </c>
    </row>
    <row r="46">
      <c r="L46" s="17" t="inlineStr">
        <is>
          <t>TIP: Involve 'Manage Closely'</t>
        </is>
      </c>
    </row>
    <row r="47">
      <c r="L47" s="17" t="inlineStr">
        <is>
          <t xml:space="preserve">      stakeholders in decisions</t>
        </is>
      </c>
    </row>
  </sheetData>
  <dataValidations count="2">
    <dataValidation sqref="D4:D50 E4:E50" showDropDown="0" showInputMessage="0" showErrorMessage="0" allowBlank="0" type="list">
      <formula1>"High,Medium,Low"</formula1>
    </dataValidation>
    <dataValidation sqref="F4:F50 G4:G50" showDropDown="0" showInputMessage="0" showErrorMessage="0" allowBlank="0" type="list">
      <formula1>"Unaware,Aware,Understanding,Buy-in,Committed,Advocating"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pane xSplit="10" topLeftCell="K1" activePane="topRight" state="frozen"/>
      <selection pane="topRight" activeCell="A1" sqref="A1"/>
    </sheetView>
  </sheetViews>
  <sheetFormatPr baseColWidth="8" defaultRowHeight="15"/>
  <cols>
    <col width="6" customWidth="1" min="1" max="1"/>
    <col width="22" customWidth="1" min="2" max="2"/>
    <col width="15" customWidth="1" min="3" max="3"/>
    <col width="12" customWidth="1" min="4" max="4"/>
    <col width="12" customWidth="1" min="5" max="5"/>
    <col width="14" customWidth="1" min="6" max="6"/>
    <col width="10" customWidth="1" min="7" max="7"/>
    <col width="12" customWidth="1" min="8" max="8"/>
    <col width="10" customWidth="1" min="9" max="9"/>
    <col width="30" customWidth="1" min="11" max="11"/>
  </cols>
  <sheetData>
    <row r="1">
      <c r="A1" s="9" t="inlineStr">
        <is>
          <t>Communication Plan</t>
        </is>
      </c>
      <c r="K1" s="2" t="inlineStr">
        <is>
          <t>INSTRUCTIONS</t>
        </is>
      </c>
    </row>
    <row r="2">
      <c r="K2" s="15" t="inlineStr">
        <is>
          <t>PURPOSE:</t>
        </is>
      </c>
    </row>
    <row r="3">
      <c r="A3" s="6" t="inlineStr">
        <is>
          <t>ID</t>
        </is>
      </c>
      <c r="B3" s="6" t="inlineStr">
        <is>
          <t>Message/Topic</t>
        </is>
      </c>
      <c r="C3" s="6" t="inlineStr">
        <is>
          <t>Audience</t>
        </is>
      </c>
      <c r="D3" s="6" t="inlineStr">
        <is>
          <t>Purpose</t>
        </is>
      </c>
      <c r="E3" s="6" t="inlineStr">
        <is>
          <t>Channel</t>
        </is>
      </c>
      <c r="F3" s="6" t="inlineStr">
        <is>
          <t>Sender</t>
        </is>
      </c>
      <c r="G3" s="6" t="inlineStr">
        <is>
          <t>Frequency</t>
        </is>
      </c>
      <c r="H3" s="6" t="inlineStr">
        <is>
          <t>Date</t>
        </is>
      </c>
      <c r="I3" s="6" t="inlineStr">
        <is>
          <t>Status</t>
        </is>
      </c>
      <c r="K3" s="15" t="inlineStr">
        <is>
          <t>Plan all change communications</t>
        </is>
      </c>
    </row>
    <row r="4">
      <c r="A4" s="7" t="inlineStr">
        <is>
          <t>C001</t>
        </is>
      </c>
      <c r="B4" s="7" t="inlineStr">
        <is>
          <t>Change Announcement</t>
        </is>
      </c>
      <c r="C4" s="7" t="inlineStr">
        <is>
          <t>All Employees</t>
        </is>
      </c>
      <c r="D4" s="7" t="inlineStr">
        <is>
          <t>Awareness</t>
        </is>
      </c>
      <c r="E4" s="7" t="inlineStr">
        <is>
          <t>Town Hall</t>
        </is>
      </c>
      <c r="F4" s="7" t="inlineStr">
        <is>
          <t>Exec Sponsor</t>
        </is>
      </c>
      <c r="G4" s="7" t="inlineStr">
        <is>
          <t>One-time</t>
        </is>
      </c>
      <c r="H4" s="7" t="inlineStr"/>
      <c r="I4" s="7" t="inlineStr">
        <is>
          <t>Planned</t>
        </is>
      </c>
      <c r="K4" s="15" t="inlineStr"/>
    </row>
    <row r="5">
      <c r="A5" s="7" t="inlineStr">
        <is>
          <t>C002</t>
        </is>
      </c>
      <c r="B5" s="7" t="inlineStr">
        <is>
          <t>Leadership Briefing</t>
        </is>
      </c>
      <c r="C5" s="7" t="inlineStr">
        <is>
          <t>Senior Leaders</t>
        </is>
      </c>
      <c r="D5" s="7" t="inlineStr">
        <is>
          <t>Buy-in</t>
        </is>
      </c>
      <c r="E5" s="7" t="inlineStr">
        <is>
          <t>Meeting</t>
        </is>
      </c>
      <c r="F5" s="7" t="inlineStr">
        <is>
          <t>Project Sponsor</t>
        </is>
      </c>
      <c r="G5" s="7" t="inlineStr">
        <is>
          <t>Monthly</t>
        </is>
      </c>
      <c r="H5" s="7" t="inlineStr"/>
      <c r="I5" s="7" t="inlineStr">
        <is>
          <t>Planned</t>
        </is>
      </c>
      <c r="K5" s="15" t="inlineStr">
        <is>
          <t>HOW TO USE:</t>
        </is>
      </c>
    </row>
    <row r="6">
      <c r="A6" s="7" t="inlineStr">
        <is>
          <t>C003</t>
        </is>
      </c>
      <c r="B6" s="7" t="inlineStr">
        <is>
          <t>Manager Toolkit</t>
        </is>
      </c>
      <c r="C6" s="7" t="inlineStr">
        <is>
          <t>People Managers</t>
        </is>
      </c>
      <c r="D6" s="7" t="inlineStr">
        <is>
          <t>Knowledge</t>
        </is>
      </c>
      <c r="E6" s="7" t="inlineStr">
        <is>
          <t>Email+Portal</t>
        </is>
      </c>
      <c r="F6" s="7" t="inlineStr">
        <is>
          <t>OCM Lead</t>
        </is>
      </c>
      <c r="G6" s="7" t="inlineStr">
        <is>
          <t>One-time</t>
        </is>
      </c>
      <c r="H6" s="7" t="inlineStr"/>
      <c r="I6" s="7" t="inlineStr">
        <is>
          <t>Planned</t>
        </is>
      </c>
      <c r="K6" s="15" t="inlineStr">
        <is>
          <t>1. Define each communication</t>
        </is>
      </c>
    </row>
    <row r="7">
      <c r="A7" s="7" t="inlineStr">
        <is>
          <t>C004</t>
        </is>
      </c>
      <c r="B7" s="7" t="inlineStr">
        <is>
          <t>Progress Updates</t>
        </is>
      </c>
      <c r="C7" s="7" t="inlineStr">
        <is>
          <t>All Stakeholders</t>
        </is>
      </c>
      <c r="D7" s="7" t="inlineStr">
        <is>
          <t>Awareness</t>
        </is>
      </c>
      <c r="E7" s="7" t="inlineStr">
        <is>
          <t>Newsletter</t>
        </is>
      </c>
      <c r="F7" s="7" t="inlineStr">
        <is>
          <t>Project Manager</t>
        </is>
      </c>
      <c r="G7" s="7" t="inlineStr">
        <is>
          <t>Bi-weekly</t>
        </is>
      </c>
      <c r="H7" s="7" t="inlineStr"/>
      <c r="I7" s="7" t="inlineStr">
        <is>
          <t>Planned</t>
        </is>
      </c>
      <c r="K7" s="15" t="inlineStr">
        <is>
          <t>2. Match audience to stakeholders</t>
        </is>
      </c>
    </row>
    <row r="8">
      <c r="A8" s="7" t="inlineStr">
        <is>
          <t>C005</t>
        </is>
      </c>
      <c r="B8" s="7" t="inlineStr">
        <is>
          <t>Training Schedule</t>
        </is>
      </c>
      <c r="C8" s="7" t="inlineStr">
        <is>
          <t>Impacted Users</t>
        </is>
      </c>
      <c r="D8" s="7" t="inlineStr">
        <is>
          <t>Knowledge</t>
        </is>
      </c>
      <c r="E8" s="7" t="inlineStr">
        <is>
          <t>Email</t>
        </is>
      </c>
      <c r="F8" s="7" t="inlineStr">
        <is>
          <t>Training Lead</t>
        </is>
      </c>
      <c r="G8" s="7" t="inlineStr">
        <is>
          <t>As needed</t>
        </is>
      </c>
      <c r="H8" s="7" t="inlineStr"/>
      <c r="I8" s="7" t="inlineStr">
        <is>
          <t>Planned</t>
        </is>
      </c>
      <c r="K8" s="15" t="inlineStr">
        <is>
          <t>3. Select appropriate channel</t>
        </is>
      </c>
    </row>
    <row r="9">
      <c r="A9" s="7" t="inlineStr">
        <is>
          <t>C006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K9" s="15" t="inlineStr">
        <is>
          <t>4. Set dates and track status</t>
        </is>
      </c>
    </row>
    <row r="10">
      <c r="A10" s="7" t="inlineStr">
        <is>
          <t>C007</t>
        </is>
      </c>
      <c r="B10" s="7" t="n"/>
      <c r="C10" s="7" t="n"/>
      <c r="D10" s="7" t="n"/>
      <c r="E10" s="7" t="n"/>
      <c r="F10" s="7" t="n"/>
      <c r="G10" s="7" t="n"/>
      <c r="H10" s="7" t="n"/>
      <c r="I10" s="7" t="n"/>
      <c r="K10" s="15" t="inlineStr"/>
    </row>
    <row r="11">
      <c r="A11" s="7" t="inlineStr">
        <is>
          <t>C008</t>
        </is>
      </c>
      <c r="B11" s="7" t="n"/>
      <c r="C11" s="7" t="n"/>
      <c r="D11" s="7" t="n"/>
      <c r="E11" s="7" t="n"/>
      <c r="F11" s="7" t="n"/>
      <c r="G11" s="7" t="n"/>
      <c r="H11" s="7" t="n"/>
      <c r="I11" s="7" t="n"/>
      <c r="K11" s="15" t="inlineStr">
        <is>
          <t>THE 5 RIGHTS:</t>
        </is>
      </c>
    </row>
    <row r="12">
      <c r="A12" s="7" t="inlineStr">
        <is>
          <t>C009</t>
        </is>
      </c>
      <c r="B12" s="7" t="n"/>
      <c r="C12" s="7" t="n"/>
      <c r="D12" s="7" t="n"/>
      <c r="E12" s="7" t="n"/>
      <c r="F12" s="7" t="n"/>
      <c r="G12" s="7" t="n"/>
      <c r="H12" s="7" t="n"/>
      <c r="I12" s="7" t="n"/>
      <c r="K12" s="15" t="inlineStr">
        <is>
          <t>• Right Message</t>
        </is>
      </c>
    </row>
    <row r="13">
      <c r="A13" s="7" t="inlineStr">
        <is>
          <t>C010</t>
        </is>
      </c>
      <c r="B13" s="7" t="n"/>
      <c r="C13" s="7" t="n"/>
      <c r="D13" s="7" t="n"/>
      <c r="E13" s="7" t="n"/>
      <c r="F13" s="7" t="n"/>
      <c r="G13" s="7" t="n"/>
      <c r="H13" s="7" t="n"/>
      <c r="I13" s="7" t="n"/>
      <c r="K13" s="15" t="inlineStr">
        <is>
          <t>• Right Audience</t>
        </is>
      </c>
    </row>
    <row r="14">
      <c r="A14" s="7" t="inlineStr">
        <is>
          <t>C011</t>
        </is>
      </c>
      <c r="B14" s="7" t="n"/>
      <c r="C14" s="7" t="n"/>
      <c r="D14" s="7" t="n"/>
      <c r="E14" s="7" t="n"/>
      <c r="F14" s="7" t="n"/>
      <c r="G14" s="7" t="n"/>
      <c r="H14" s="7" t="n"/>
      <c r="I14" s="7" t="n"/>
      <c r="K14" s="15" t="inlineStr">
        <is>
          <t>• Right Channel</t>
        </is>
      </c>
    </row>
    <row r="15">
      <c r="A15" s="7" t="inlineStr">
        <is>
          <t>C012</t>
        </is>
      </c>
      <c r="B15" s="7" t="n"/>
      <c r="C15" s="7" t="n"/>
      <c r="D15" s="7" t="n"/>
      <c r="E15" s="7" t="n"/>
      <c r="F15" s="7" t="n"/>
      <c r="G15" s="7" t="n"/>
      <c r="H15" s="7" t="n"/>
      <c r="I15" s="7" t="n"/>
      <c r="K15" s="15" t="inlineStr">
        <is>
          <t>• Right Time</t>
        </is>
      </c>
    </row>
    <row r="16">
      <c r="A16" s="7" t="inlineStr">
        <is>
          <t>C013</t>
        </is>
      </c>
      <c r="B16" s="7" t="n"/>
      <c r="C16" s="7" t="n"/>
      <c r="D16" s="7" t="n"/>
      <c r="E16" s="7" t="n"/>
      <c r="F16" s="7" t="n"/>
      <c r="G16" s="7" t="n"/>
      <c r="H16" s="7" t="n"/>
      <c r="I16" s="7" t="n"/>
      <c r="K16" s="15" t="inlineStr">
        <is>
          <t>• Right Sender</t>
        </is>
      </c>
    </row>
    <row r="17">
      <c r="A17" s="7" t="inlineStr">
        <is>
          <t>C014</t>
        </is>
      </c>
      <c r="B17" s="7" t="n"/>
      <c r="C17" s="7" t="n"/>
      <c r="D17" s="7" t="n"/>
      <c r="E17" s="7" t="n"/>
      <c r="F17" s="7" t="n"/>
      <c r="G17" s="7" t="n"/>
      <c r="H17" s="7" t="n"/>
      <c r="I17" s="7" t="n"/>
      <c r="K17" s="15" t="inlineStr"/>
    </row>
    <row r="18">
      <c r="A18" s="7" t="inlineStr">
        <is>
          <t>C015</t>
        </is>
      </c>
      <c r="B18" s="7" t="n"/>
      <c r="C18" s="7" t="n"/>
      <c r="D18" s="7" t="n"/>
      <c r="E18" s="7" t="n"/>
      <c r="F18" s="7" t="n"/>
      <c r="G18" s="7" t="n"/>
      <c r="H18" s="7" t="n"/>
      <c r="I18" s="7" t="n"/>
      <c r="K18" s="15" t="inlineStr">
        <is>
          <t>REFERENCE: Chapter 8</t>
        </is>
      </c>
    </row>
    <row r="19">
      <c r="A19" s="7" t="inlineStr">
        <is>
          <t>C016</t>
        </is>
      </c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7" t="inlineStr">
        <is>
          <t>C017</t>
        </is>
      </c>
      <c r="B20" s="7" t="n"/>
      <c r="C20" s="7" t="n"/>
      <c r="D20" s="7" t="n"/>
      <c r="E20" s="7" t="n"/>
      <c r="F20" s="7" t="n"/>
      <c r="G20" s="7" t="n"/>
      <c r="H20" s="7" t="n"/>
      <c r="I20" s="7" t="n"/>
    </row>
    <row r="21">
      <c r="A21" s="7" t="inlineStr">
        <is>
          <t>C018</t>
        </is>
      </c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7" t="inlineStr">
        <is>
          <t>C019</t>
        </is>
      </c>
      <c r="B22" s="7" t="n"/>
      <c r="C22" s="7" t="n"/>
      <c r="D22" s="7" t="n"/>
      <c r="E22" s="7" t="n"/>
      <c r="F22" s="7" t="n"/>
      <c r="G22" s="7" t="n"/>
      <c r="H22" s="7" t="n"/>
      <c r="I22" s="7" t="n"/>
    </row>
    <row r="23">
      <c r="A23" s="7" t="inlineStr">
        <is>
          <t>C020</t>
        </is>
      </c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7" t="inlineStr">
        <is>
          <t>C021</t>
        </is>
      </c>
      <c r="B24" s="7" t="n"/>
      <c r="C24" s="7" t="n"/>
      <c r="D24" s="7" t="n"/>
      <c r="E24" s="7" t="n"/>
      <c r="F24" s="7" t="n"/>
      <c r="G24" s="7" t="n"/>
      <c r="H24" s="7" t="n"/>
      <c r="I24" s="7" t="n"/>
    </row>
    <row r="25">
      <c r="A25" s="7" t="inlineStr">
        <is>
          <t>C022</t>
        </is>
      </c>
      <c r="B25" s="7" t="n"/>
      <c r="C25" s="7" t="n"/>
      <c r="D25" s="7" t="n"/>
      <c r="E25" s="7" t="n"/>
      <c r="F25" s="7" t="n"/>
      <c r="G25" s="7" t="n"/>
      <c r="H25" s="7" t="n"/>
      <c r="I25" s="7" t="n"/>
    </row>
    <row r="26">
      <c r="A26" s="7" t="inlineStr">
        <is>
          <t>C023</t>
        </is>
      </c>
      <c r="B26" s="7" t="n"/>
      <c r="C26" s="7" t="n"/>
      <c r="D26" s="7" t="n"/>
      <c r="E26" s="7" t="n"/>
      <c r="F26" s="7" t="n"/>
      <c r="G26" s="7" t="n"/>
      <c r="H26" s="7" t="n"/>
      <c r="I26" s="7" t="n"/>
    </row>
    <row r="27">
      <c r="A27" s="7" t="inlineStr">
        <is>
          <t>C024</t>
        </is>
      </c>
      <c r="B27" s="7" t="n"/>
      <c r="C27" s="7" t="n"/>
      <c r="D27" s="7" t="n"/>
      <c r="E27" s="7" t="n"/>
      <c r="F27" s="7" t="n"/>
      <c r="G27" s="7" t="n"/>
      <c r="H27" s="7" t="n"/>
      <c r="I27" s="7" t="n"/>
    </row>
    <row r="28">
      <c r="A28" s="7" t="inlineStr">
        <is>
          <t>C025</t>
        </is>
      </c>
      <c r="B28" s="7" t="n"/>
      <c r="C28" s="7" t="n"/>
      <c r="D28" s="7" t="n"/>
      <c r="E28" s="7" t="n"/>
      <c r="F28" s="7" t="n"/>
      <c r="G28" s="7" t="n"/>
      <c r="H28" s="7" t="n"/>
      <c r="I28" s="7" t="n"/>
    </row>
  </sheetData>
  <dataValidations count="3">
    <dataValidation sqref="E4:E50" showDropDown="0" showInputMessage="0" showErrorMessage="0" allowBlank="0" type="list">
      <formula1>"Email,Town Hall,Team Meeting,Portal,Newsletter,Video,Poster,One-on-One,Training"</formula1>
    </dataValidation>
    <dataValidation sqref="G4:G50" showDropDown="0" showInputMessage="0" showErrorMessage="0" allowBlank="0" type="list">
      <formula1>"One-time,Daily,Weekly,Bi-weekly,Monthly,Quarterly,As needed"</formula1>
    </dataValidation>
    <dataValidation sqref="I4:I50" showDropDown="0" showInputMessage="0" showErrorMessage="0" allowBlank="0" type="list">
      <formula1>"Planned,In Progress,Complete,Cancelled"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pane xSplit="13" topLeftCell="N1" activePane="topRight" state="frozen"/>
      <selection pane="topRight" activeCell="A1" sqref="A1"/>
    </sheetView>
  </sheetViews>
  <sheetFormatPr baseColWidth="8" defaultRowHeight="15"/>
  <cols>
    <col width="6" customWidth="1" min="1" max="1"/>
    <col width="20" customWidth="1" min="2" max="2"/>
    <col width="12" customWidth="1" min="3" max="3"/>
    <col width="20" customWidth="1" min="4" max="4"/>
    <col width="10" customWidth="1" min="5" max="5"/>
    <col width="8" customWidth="1" min="6" max="6"/>
    <col width="12" customWidth="1" min="7" max="7"/>
    <col width="10" customWidth="1" min="8" max="8"/>
    <col width="8" customWidth="1" min="9" max="9"/>
    <col width="8" customWidth="1" min="10" max="10"/>
    <col width="10" customWidth="1" min="11" max="11"/>
    <col width="10" customWidth="1" min="12" max="12"/>
    <col width="28" customWidth="1" min="14" max="14"/>
  </cols>
  <sheetData>
    <row r="1">
      <c r="A1" s="9" t="inlineStr">
        <is>
          <t>Training Plan</t>
        </is>
      </c>
      <c r="N1" s="2" t="inlineStr">
        <is>
          <t>INSTRUCTIONS</t>
        </is>
      </c>
    </row>
    <row r="2">
      <c r="N2" s="15" t="inlineStr">
        <is>
          <t>PURPOSE:</t>
        </is>
      </c>
    </row>
    <row r="3">
      <c r="A3" s="6" t="inlineStr">
        <is>
          <t>ID</t>
        </is>
      </c>
      <c r="B3" s="6" t="inlineStr">
        <is>
          <t>Course Name</t>
        </is>
      </c>
      <c r="C3" s="6" t="inlineStr">
        <is>
          <t>Audience</t>
        </is>
      </c>
      <c r="D3" s="6" t="inlineStr">
        <is>
          <t>Objectives</t>
        </is>
      </c>
      <c r="E3" s="6" t="inlineStr">
        <is>
          <t>Format</t>
        </is>
      </c>
      <c r="F3" s="6" t="inlineStr">
        <is>
          <t>Duration</t>
        </is>
      </c>
      <c r="G3" s="6" t="inlineStr">
        <is>
          <t>Trainer</t>
        </is>
      </c>
      <c r="H3" s="6" t="inlineStr">
        <is>
          <t>Date</t>
        </is>
      </c>
      <c r="I3" s="6" t="inlineStr">
        <is>
          <t>Capacity</t>
        </is>
      </c>
      <c r="J3" s="6" t="inlineStr">
        <is>
          <t>Enrolled</t>
        </is>
      </c>
      <c r="K3" s="6" t="inlineStr">
        <is>
          <t>Complete%</t>
        </is>
      </c>
      <c r="L3" s="6" t="inlineStr">
        <is>
          <t>Status</t>
        </is>
      </c>
      <c r="N3" s="15" t="inlineStr">
        <is>
          <t>Plan training to build capability</t>
        </is>
      </c>
    </row>
    <row r="4">
      <c r="A4" s="7" t="inlineStr">
        <is>
          <t>T001</t>
        </is>
      </c>
      <c r="B4" s="7" t="inlineStr">
        <is>
          <t>Change Overview</t>
        </is>
      </c>
      <c r="C4" s="7" t="inlineStr">
        <is>
          <t>Leaders</t>
        </is>
      </c>
      <c r="D4" s="7" t="inlineStr">
        <is>
          <t>Understand change, role</t>
        </is>
      </c>
      <c r="E4" s="7" t="inlineStr">
        <is>
          <t>Workshop</t>
        </is>
      </c>
      <c r="F4" s="7" t="inlineStr">
        <is>
          <t>2 hrs</t>
        </is>
      </c>
      <c r="G4" s="7" t="inlineStr"/>
      <c r="H4" s="7" t="inlineStr"/>
      <c r="I4" s="7" t="inlineStr">
        <is>
          <t>25</t>
        </is>
      </c>
      <c r="J4" s="7" t="inlineStr"/>
      <c r="K4" s="8">
        <f>IF(OR(I4="",I4="Unlimited",J4=""),"",J4/I4)</f>
        <v/>
      </c>
      <c r="L4" s="7" t="inlineStr">
        <is>
          <t>Planned</t>
        </is>
      </c>
      <c r="N4" s="15" t="inlineStr"/>
    </row>
    <row r="5">
      <c r="A5" s="7" t="inlineStr">
        <is>
          <t>T002</t>
        </is>
      </c>
      <c r="B5" s="7" t="inlineStr">
        <is>
          <t>System Basics</t>
        </is>
      </c>
      <c r="C5" s="7" t="inlineStr">
        <is>
          <t>End Users</t>
        </is>
      </c>
      <c r="D5" s="7" t="inlineStr">
        <is>
          <t>Navigate new system</t>
        </is>
      </c>
      <c r="E5" s="7" t="inlineStr">
        <is>
          <t>eLearning</t>
        </is>
      </c>
      <c r="F5" s="7" t="inlineStr">
        <is>
          <t>1 hr</t>
        </is>
      </c>
      <c r="G5" s="7" t="inlineStr"/>
      <c r="H5" s="7" t="inlineStr"/>
      <c r="I5" s="7" t="inlineStr">
        <is>
          <t>Unlimited</t>
        </is>
      </c>
      <c r="J5" s="7" t="inlineStr"/>
      <c r="K5" s="8">
        <f>IF(OR(I5="",I5="Unlimited",J5=""),"",J5/I5)</f>
        <v/>
      </c>
      <c r="L5" s="7" t="inlineStr">
        <is>
          <t>Planned</t>
        </is>
      </c>
      <c r="N5" s="15" t="inlineStr">
        <is>
          <t>HOW TO USE:</t>
        </is>
      </c>
    </row>
    <row r="6">
      <c r="A6" s="7" t="inlineStr">
        <is>
          <t>T003</t>
        </is>
      </c>
      <c r="B6" s="7" t="inlineStr">
        <is>
          <t>Advanced Features</t>
        </is>
      </c>
      <c r="C6" s="7" t="inlineStr">
        <is>
          <t>Power Users</t>
        </is>
      </c>
      <c r="D6" s="7" t="inlineStr">
        <is>
          <t>Advanced functions</t>
        </is>
      </c>
      <c r="E6" s="7" t="inlineStr">
        <is>
          <t>Lab</t>
        </is>
      </c>
      <c r="F6" s="7" t="inlineStr">
        <is>
          <t>4 hrs</t>
        </is>
      </c>
      <c r="G6" s="7" t="inlineStr"/>
      <c r="H6" s="7" t="inlineStr"/>
      <c r="I6" s="7" t="inlineStr">
        <is>
          <t>20</t>
        </is>
      </c>
      <c r="J6" s="7" t="inlineStr"/>
      <c r="K6" s="8">
        <f>IF(OR(I6="",I6="Unlimited",J6=""),"",J6/I6)</f>
        <v/>
      </c>
      <c r="L6" s="7" t="inlineStr">
        <is>
          <t>Planned</t>
        </is>
      </c>
      <c r="N6" s="15" t="inlineStr">
        <is>
          <t>1. Define courses by audience</t>
        </is>
      </c>
    </row>
    <row r="7">
      <c r="A7" s="7" t="inlineStr">
        <is>
          <t>T004</t>
        </is>
      </c>
      <c r="B7" s="7" t="inlineStr">
        <is>
          <t>Manager Coaching</t>
        </is>
      </c>
      <c r="C7" s="7" t="inlineStr">
        <is>
          <t>Managers</t>
        </is>
      </c>
      <c r="D7" s="7" t="inlineStr">
        <is>
          <t>Support teams</t>
        </is>
      </c>
      <c r="E7" s="7" t="inlineStr">
        <is>
          <t>Workshop</t>
        </is>
      </c>
      <c r="F7" s="7" t="inlineStr">
        <is>
          <t>3 hrs</t>
        </is>
      </c>
      <c r="G7" s="7" t="inlineStr"/>
      <c r="H7" s="7" t="inlineStr"/>
      <c r="I7" s="7" t="inlineStr">
        <is>
          <t>15</t>
        </is>
      </c>
      <c r="J7" s="7" t="inlineStr"/>
      <c r="K7" s="8">
        <f>IF(OR(I7="",I7="Unlimited",J7=""),"",J7/I7)</f>
        <v/>
      </c>
      <c r="L7" s="7" t="inlineStr">
        <is>
          <t>Planned</t>
        </is>
      </c>
      <c r="N7" s="15" t="inlineStr">
        <is>
          <t>2. Set format and duration</t>
        </is>
      </c>
    </row>
    <row r="8">
      <c r="A8" s="7" t="inlineStr">
        <is>
          <t>T005</t>
        </is>
      </c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8">
        <f>IF(OR(I8="",I8="Unlimited",J8=""),"",J8/I8)</f>
        <v/>
      </c>
      <c r="L8" s="7" t="n"/>
      <c r="N8" s="15" t="inlineStr">
        <is>
          <t>3. Enter Capacity and Enrolled</t>
        </is>
      </c>
    </row>
    <row r="9">
      <c r="A9" s="7" t="inlineStr">
        <is>
          <t>T006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8">
        <f>IF(OR(I9="",I9="Unlimited",J9=""),"",J9/I9)</f>
        <v/>
      </c>
      <c r="L9" s="7" t="n"/>
      <c r="N9" s="15" t="inlineStr">
        <is>
          <t>4. Complete% auto-calculates</t>
        </is>
      </c>
    </row>
    <row r="10">
      <c r="A10" s="7" t="inlineStr">
        <is>
          <t>T007</t>
        </is>
      </c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8">
        <f>IF(OR(I10="",I10="Unlimited",J10=""),"",J10/I10)</f>
        <v/>
      </c>
      <c r="L10" s="7" t="n"/>
      <c r="N10" s="15" t="inlineStr"/>
    </row>
    <row r="11">
      <c r="A11" s="7" t="inlineStr">
        <is>
          <t>T008</t>
        </is>
      </c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8">
        <f>IF(OR(I11="",I11="Unlimited",J11=""),"",J11/I11)</f>
        <v/>
      </c>
      <c r="L11" s="7" t="n"/>
      <c r="N11" s="15" t="inlineStr">
        <is>
          <t>FORMATS:</t>
        </is>
      </c>
    </row>
    <row r="12">
      <c r="A12" s="7" t="inlineStr">
        <is>
          <t>T009</t>
        </is>
      </c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8">
        <f>IF(OR(I12="",I12="Unlimited",J12=""),"",J12/I12)</f>
        <v/>
      </c>
      <c r="L12" s="7" t="n"/>
      <c r="N12" s="15" t="inlineStr">
        <is>
          <t>• eLearning - Self-paced online</t>
        </is>
      </c>
    </row>
    <row r="13">
      <c r="A13" s="7" t="inlineStr">
        <is>
          <t>T010</t>
        </is>
      </c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8">
        <f>IF(OR(I13="",I13="Unlimited",J13=""),"",J13/I13)</f>
        <v/>
      </c>
      <c r="L13" s="7" t="n"/>
      <c r="N13" s="15" t="inlineStr">
        <is>
          <t>• Workshop - Interactive session</t>
        </is>
      </c>
    </row>
    <row r="14">
      <c r="A14" s="7" t="inlineStr">
        <is>
          <t>T011</t>
        </is>
      </c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8">
        <f>IF(OR(I14="",I14="Unlimited",J14=""),"",J14/I14)</f>
        <v/>
      </c>
      <c r="L14" s="7" t="n"/>
      <c r="N14" s="15" t="inlineStr">
        <is>
          <t>• Lab - Hands-on practice</t>
        </is>
      </c>
    </row>
    <row r="15">
      <c r="A15" s="7" t="inlineStr">
        <is>
          <t>T012</t>
        </is>
      </c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8">
        <f>IF(OR(I15="",I15="Unlimited",J15=""),"",J15/I15)</f>
        <v/>
      </c>
      <c r="L15" s="7" t="n"/>
      <c r="N15" s="15" t="inlineStr">
        <is>
          <t>• Coaching - 1:1 support</t>
        </is>
      </c>
    </row>
    <row r="16">
      <c r="A16" s="7" t="inlineStr">
        <is>
          <t>T013</t>
        </is>
      </c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8">
        <f>IF(OR(I16="",I16="Unlimited",J16=""),"",J16/I16)</f>
        <v/>
      </c>
      <c r="L16" s="7" t="n"/>
      <c r="N16" s="15" t="inlineStr"/>
    </row>
    <row r="17">
      <c r="A17" s="7" t="inlineStr">
        <is>
          <t>T014</t>
        </is>
      </c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8">
        <f>IF(OR(I17="",I17="Unlimited",J17=""),"",J17/I17)</f>
        <v/>
      </c>
      <c r="L17" s="7" t="n"/>
      <c r="N17" s="15" t="inlineStr">
        <is>
          <t>REFERENCE: Chapter 9</t>
        </is>
      </c>
    </row>
    <row r="18">
      <c r="A18" s="7" t="inlineStr">
        <is>
          <t>T015</t>
        </is>
      </c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8">
        <f>IF(OR(I18="",I18="Unlimited",J18=""),"",J18/I18)</f>
        <v/>
      </c>
      <c r="L18" s="7" t="n"/>
    </row>
    <row r="19">
      <c r="A19" s="7" t="inlineStr">
        <is>
          <t>T016</t>
        </is>
      </c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8">
        <f>IF(OR(I19="",I19="Unlimited",J19=""),"",J19/I19)</f>
        <v/>
      </c>
      <c r="L19" s="7" t="n"/>
    </row>
    <row r="20">
      <c r="A20" s="7" t="inlineStr">
        <is>
          <t>T017</t>
        </is>
      </c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8">
        <f>IF(OR(I20="",I20="Unlimited",J20=""),"",J20/I20)</f>
        <v/>
      </c>
      <c r="L20" s="7" t="n"/>
    </row>
    <row r="21">
      <c r="A21" s="7" t="inlineStr">
        <is>
          <t>T018</t>
        </is>
      </c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8">
        <f>IF(OR(I21="",I21="Unlimited",J21=""),"",J21/I21)</f>
        <v/>
      </c>
      <c r="L21" s="7" t="n"/>
    </row>
    <row r="22">
      <c r="A22" s="7" t="inlineStr">
        <is>
          <t>T019</t>
        </is>
      </c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K22" s="8">
        <f>IF(OR(I22="",I22="Unlimited",J22=""),"",J22/I22)</f>
        <v/>
      </c>
      <c r="L22" s="7" t="n"/>
    </row>
    <row r="23">
      <c r="A23" s="7" t="inlineStr">
        <is>
          <t>T020</t>
        </is>
      </c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8">
        <f>IF(OR(I23="",I23="Unlimited",J23=""),"",J23/I23)</f>
        <v/>
      </c>
      <c r="L23" s="7" t="n"/>
    </row>
    <row r="24">
      <c r="A24" s="7" t="inlineStr">
        <is>
          <t>T021</t>
        </is>
      </c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 s="8">
        <f>IF(OR(I24="",I24="Unlimited",J24=""),"",J24/I24)</f>
        <v/>
      </c>
      <c r="L24" s="7" t="n"/>
    </row>
    <row r="25">
      <c r="A25" s="7" t="inlineStr">
        <is>
          <t>T022</t>
        </is>
      </c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8">
        <f>IF(OR(I25="",I25="Unlimited",J25=""),"",J25/I25)</f>
        <v/>
      </c>
      <c r="L25" s="7" t="n"/>
    </row>
    <row r="26">
      <c r="A26" s="7" t="inlineStr">
        <is>
          <t>T023</t>
        </is>
      </c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  <c r="K26" s="8">
        <f>IF(OR(I26="",I26="Unlimited",J26=""),"",J26/I26)</f>
        <v/>
      </c>
      <c r="L26" s="7" t="n"/>
    </row>
    <row r="27">
      <c r="A27" s="7" t="inlineStr">
        <is>
          <t>T024</t>
        </is>
      </c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K27" s="8">
        <f>IF(OR(I27="",I27="Unlimited",J27=""),"",J27/I27)</f>
        <v/>
      </c>
      <c r="L27" s="7" t="n"/>
    </row>
  </sheetData>
  <dataValidations count="2">
    <dataValidation sqref="E4:E50" showDropDown="0" showInputMessage="0" showErrorMessage="0" allowBlank="0" type="list">
      <formula1>"eLearning,Workshop,Lab,Coaching,On-the-job,Self-paced"</formula1>
    </dataValidation>
    <dataValidation sqref="L4:L50" showDropDown="0" showInputMessage="0" showErrorMessage="0" allowBlank="0" type="list">
      <formula1>"Planned,Scheduled,In Progress,Complete,Cancelled"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7"/>
  <sheetViews>
    <sheetView workbookViewId="0">
      <pane xSplit="10" topLeftCell="K1" activePane="topRight" state="frozen"/>
      <selection pane="topRight" activeCell="A1" sqref="A1"/>
    </sheetView>
  </sheetViews>
  <sheetFormatPr baseColWidth="8" defaultRowHeight="15"/>
  <cols>
    <col width="18" customWidth="1" min="1" max="1"/>
    <col width="15" customWidth="1" min="2" max="2"/>
    <col width="12" customWidth="1" min="3" max="3"/>
    <col width="22" customWidth="1" min="4" max="4"/>
    <col width="12" customWidth="1" min="5" max="5"/>
    <col width="12" customWidth="1" min="6" max="6"/>
    <col width="14" customWidth="1" min="7" max="7"/>
    <col width="12" customWidth="1" min="8" max="8"/>
    <col width="10" customWidth="1" min="9" max="9"/>
    <col width="28" customWidth="1" min="11" max="11"/>
  </cols>
  <sheetData>
    <row r="1">
      <c r="A1" s="9" t="inlineStr">
        <is>
          <t>Sponsorship Tracker</t>
        </is>
      </c>
      <c r="K1" s="2" t="inlineStr">
        <is>
          <t>INSTRUCTIONS</t>
        </is>
      </c>
    </row>
    <row r="2">
      <c r="K2" s="15" t="inlineStr">
        <is>
          <t>PURPOSE:</t>
        </is>
      </c>
    </row>
    <row r="3">
      <c r="A3" s="6" t="inlineStr">
        <is>
          <t>Sponsor</t>
        </is>
      </c>
      <c r="B3" s="6" t="inlineStr">
        <is>
          <t>Role</t>
        </is>
      </c>
      <c r="C3" s="6" t="inlineStr">
        <is>
          <t>Level</t>
        </is>
      </c>
      <c r="D3" s="6" t="inlineStr">
        <is>
          <t>Activity</t>
        </is>
      </c>
      <c r="E3" s="6" t="inlineStr">
        <is>
          <t>Target Date</t>
        </is>
      </c>
      <c r="F3" s="6" t="inlineStr">
        <is>
          <t>Actual Date</t>
        </is>
      </c>
      <c r="G3" s="6" t="inlineStr">
        <is>
          <t>Audience</t>
        </is>
      </c>
      <c r="H3" s="6" t="inlineStr">
        <is>
          <t>Effectiveness</t>
        </is>
      </c>
      <c r="I3" s="6" t="inlineStr">
        <is>
          <t>Follow-up</t>
        </is>
      </c>
      <c r="K3" s="15" t="inlineStr">
        <is>
          <t>Track sponsor activities</t>
        </is>
      </c>
    </row>
    <row r="4">
      <c r="A4" s="7" t="inlineStr"/>
      <c r="B4" s="7" t="inlineStr">
        <is>
          <t>Exec Sponsor</t>
        </is>
      </c>
      <c r="C4" s="7" t="inlineStr">
        <is>
          <t>Primary</t>
        </is>
      </c>
      <c r="D4" s="7" t="inlineStr">
        <is>
          <t>Kick-off announcement</t>
        </is>
      </c>
      <c r="E4" s="7" t="inlineStr"/>
      <c r="F4" s="7" t="inlineStr"/>
      <c r="G4" s="7" t="inlineStr">
        <is>
          <t>All employees</t>
        </is>
      </c>
      <c r="H4" s="7" t="inlineStr"/>
      <c r="I4" s="7" t="inlineStr"/>
      <c r="K4" s="15" t="inlineStr"/>
    </row>
    <row r="5">
      <c r="A5" s="7" t="inlineStr"/>
      <c r="B5" s="7" t="inlineStr">
        <is>
          <t>Exec Sponsor</t>
        </is>
      </c>
      <c r="C5" s="7" t="inlineStr">
        <is>
          <t>Primary</t>
        </is>
      </c>
      <c r="D5" s="7" t="inlineStr">
        <is>
          <t>Monthly update</t>
        </is>
      </c>
      <c r="E5" s="7" t="inlineStr"/>
      <c r="F5" s="7" t="inlineStr"/>
      <c r="G5" s="7" t="inlineStr">
        <is>
          <t>All employees</t>
        </is>
      </c>
      <c r="H5" s="7" t="inlineStr"/>
      <c r="I5" s="7" t="inlineStr"/>
      <c r="K5" s="15" t="inlineStr">
        <is>
          <t>SPONSOR LEVELS:</t>
        </is>
      </c>
    </row>
    <row r="6">
      <c r="A6" s="7" t="inlineStr"/>
      <c r="B6" s="7" t="inlineStr">
        <is>
          <t>BU Leader</t>
        </is>
      </c>
      <c r="C6" s="7" t="inlineStr">
        <is>
          <t>Sustaining</t>
        </is>
      </c>
      <c r="D6" s="7" t="inlineStr">
        <is>
          <t>Team endorsement</t>
        </is>
      </c>
      <c r="E6" s="7" t="inlineStr"/>
      <c r="F6" s="7" t="inlineStr"/>
      <c r="G6" s="7" t="inlineStr">
        <is>
          <t>Department</t>
        </is>
      </c>
      <c r="H6" s="7" t="inlineStr"/>
      <c r="I6" s="7" t="inlineStr"/>
      <c r="K6" s="15" t="inlineStr">
        <is>
          <t>• Primary - Executive owner</t>
        </is>
      </c>
    </row>
    <row r="7">
      <c r="A7" s="7" t="inlineStr"/>
      <c r="B7" s="7" t="inlineStr">
        <is>
          <t>Manager</t>
        </is>
      </c>
      <c r="C7" s="7" t="inlineStr">
        <is>
          <t>Local</t>
        </is>
      </c>
      <c r="D7" s="7" t="inlineStr">
        <is>
          <t>1:1 conversations</t>
        </is>
      </c>
      <c r="E7" s="7" t="inlineStr"/>
      <c r="F7" s="7" t="inlineStr"/>
      <c r="G7" s="7" t="inlineStr">
        <is>
          <t>Direct reports</t>
        </is>
      </c>
      <c r="H7" s="7" t="inlineStr"/>
      <c r="I7" s="7" t="inlineStr"/>
      <c r="K7" s="15" t="inlineStr">
        <is>
          <t>• Sustaining - BU leaders</t>
        </is>
      </c>
    </row>
    <row r="8">
      <c r="A8" s="7" t="n"/>
      <c r="B8" s="7" t="n"/>
      <c r="C8" s="7" t="n"/>
      <c r="D8" s="7" t="n"/>
      <c r="E8" s="7" t="n"/>
      <c r="F8" s="7" t="n"/>
      <c r="G8" s="7" t="n"/>
      <c r="H8" s="7" t="n"/>
      <c r="I8" s="7" t="n"/>
      <c r="K8" s="15" t="inlineStr">
        <is>
          <t>• Local - Department mgrs</t>
        </is>
      </c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K9" s="15" t="inlineStr">
        <is>
          <t>• Coalition - Peer influencers</t>
        </is>
      </c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  <c r="K10" s="15" t="inlineStr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K11" s="15" t="inlineStr">
        <is>
          <t>EFFECTIVENESS (1-5):</t>
        </is>
      </c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  <c r="K12" s="15" t="inlineStr">
        <is>
          <t>1 = Poor delivery</t>
        </is>
      </c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K13" s="15" t="inlineStr">
        <is>
          <t>5 = Excellent impact</t>
        </is>
      </c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7" t="n"/>
      <c r="K14" s="15" t="inlineStr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K15" s="15" t="inlineStr">
        <is>
          <t>ABCs of SPONSORSHIP:</t>
        </is>
      </c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7" t="n"/>
      <c r="K16" s="15" t="inlineStr">
        <is>
          <t>Active, Build coalition,</t>
        </is>
      </c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K17" s="15" t="inlineStr">
        <is>
          <t>Communicate directly</t>
        </is>
      </c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  <c r="I18" s="7" t="n"/>
      <c r="K18" s="15" t="inlineStr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K19" s="15" t="inlineStr">
        <is>
          <t>REFERENCE: Chapter 10</t>
        </is>
      </c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  <c r="I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  <c r="I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</row>
  </sheetData>
  <dataValidations count="3">
    <dataValidation sqref="C4:C50" showDropDown="0" showInputMessage="0" showErrorMessage="0" allowBlank="0" type="list">
      <formula1>"Primary,Sustaining,Local,Coalition"</formula1>
    </dataValidation>
    <dataValidation sqref="H4:H50" showDropDown="0" showInputMessage="0" showErrorMessage="0" allowBlank="0" type="list">
      <formula1>"1,2,3,4,5"</formula1>
    </dataValidation>
    <dataValidation sqref="I4:I50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28"/>
  <sheetViews>
    <sheetView workbookViewId="0">
      <pane xSplit="12" topLeftCell="M1" activePane="topRight" state="frozen"/>
      <selection pane="topRight" activeCell="A1" sqref="A1"/>
    </sheetView>
  </sheetViews>
  <sheetFormatPr baseColWidth="8" defaultRowHeight="15"/>
  <cols>
    <col width="6" customWidth="1" min="1" max="1"/>
    <col width="10" customWidth="1" min="2" max="2"/>
    <col width="15" customWidth="1" min="3" max="3"/>
    <col width="10" customWidth="1" min="4" max="4"/>
    <col width="12" customWidth="1" min="5" max="5"/>
    <col width="10" customWidth="1" min="6" max="6"/>
    <col width="20" customWidth="1" min="7" max="7"/>
    <col width="20" customWidth="1" min="8" max="8"/>
    <col width="10" customWidth="1" min="9" max="9"/>
    <col width="10" customWidth="1" min="10" max="10"/>
    <col width="16" customWidth="1" min="11" max="11"/>
    <col width="28" customWidth="1" min="13" max="13"/>
  </cols>
  <sheetData>
    <row r="1">
      <c r="A1" s="9" t="inlineStr">
        <is>
          <t>Resistance Log</t>
        </is>
      </c>
      <c r="M1" s="2" t="inlineStr">
        <is>
          <t>INSTRUCTIONS</t>
        </is>
      </c>
    </row>
    <row r="2">
      <c r="M2" s="15" t="inlineStr">
        <is>
          <t>PURPOSE:</t>
        </is>
      </c>
    </row>
    <row r="3">
      <c r="A3" s="6" t="inlineStr">
        <is>
          <t>ID</t>
        </is>
      </c>
      <c r="B3" s="6" t="inlineStr">
        <is>
          <t>Date</t>
        </is>
      </c>
      <c r="C3" s="6" t="inlineStr">
        <is>
          <t>Source/Group</t>
        </is>
      </c>
      <c r="D3" s="6" t="inlineStr">
        <is>
          <t>Type</t>
        </is>
      </c>
      <c r="E3" s="6" t="inlineStr">
        <is>
          <t>ADKAR Gap</t>
        </is>
      </c>
      <c r="F3" s="6" t="inlineStr">
        <is>
          <t>Severity</t>
        </is>
      </c>
      <c r="G3" s="6" t="inlineStr">
        <is>
          <t>Behaviors</t>
        </is>
      </c>
      <c r="H3" s="6" t="inlineStr">
        <is>
          <t>Mitigation</t>
        </is>
      </c>
      <c r="I3" s="6" t="inlineStr">
        <is>
          <t>Owner</t>
        </is>
      </c>
      <c r="J3" s="6" t="inlineStr">
        <is>
          <t>Target</t>
        </is>
      </c>
      <c r="K3" s="6" t="inlineStr">
        <is>
          <t>Status</t>
        </is>
      </c>
      <c r="M3" s="15" t="inlineStr">
        <is>
          <t>Track and manage resistance</t>
        </is>
      </c>
    </row>
    <row r="4">
      <c r="A4" s="10" t="inlineStr">
        <is>
          <t>R001</t>
        </is>
      </c>
      <c r="B4" s="10" t="n"/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M4" s="15" t="inlineStr"/>
    </row>
    <row r="5">
      <c r="A5" s="10" t="inlineStr">
        <is>
          <t>R002</t>
        </is>
      </c>
      <c r="B5" s="10" t="n"/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M5" s="15" t="inlineStr">
        <is>
          <t>RESISTANCE TYPES:</t>
        </is>
      </c>
    </row>
    <row r="6">
      <c r="A6" s="10" t="inlineStr">
        <is>
          <t>R003</t>
        </is>
      </c>
      <c r="B6" s="10" t="n"/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M6" s="15" t="inlineStr">
        <is>
          <t>• Active - Vocal opposition</t>
        </is>
      </c>
    </row>
    <row r="7">
      <c r="A7" s="10" t="inlineStr">
        <is>
          <t>R004</t>
        </is>
      </c>
      <c r="B7" s="10" t="n"/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M7" s="15" t="inlineStr">
        <is>
          <t>• Passive - Silent non-compliance</t>
        </is>
      </c>
    </row>
    <row r="8">
      <c r="A8" s="10" t="inlineStr">
        <is>
          <t>R005</t>
        </is>
      </c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M8" s="15" t="inlineStr">
        <is>
          <t>• Compliance - Going through motions</t>
        </is>
      </c>
    </row>
    <row r="9">
      <c r="A9" s="10" t="inlineStr">
        <is>
          <t>R006</t>
        </is>
      </c>
      <c r="B9" s="10" t="n"/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M9" s="15" t="inlineStr"/>
    </row>
    <row r="10">
      <c r="A10" s="10" t="inlineStr">
        <is>
          <t>R007</t>
        </is>
      </c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M10" s="15" t="inlineStr">
        <is>
          <t>SEVERITY:</t>
        </is>
      </c>
    </row>
    <row r="11">
      <c r="A11" s="10" t="inlineStr">
        <is>
          <t>R008</t>
        </is>
      </c>
      <c r="B11" s="10" t="n"/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M11" s="15" t="inlineStr">
        <is>
          <t>High = Blocking progress</t>
        </is>
      </c>
    </row>
    <row r="12">
      <c r="A12" s="10" t="inlineStr">
        <is>
          <t>R009</t>
        </is>
      </c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M12" s="15" t="inlineStr">
        <is>
          <t>Medium = Slowing adoption</t>
        </is>
      </c>
    </row>
    <row r="13">
      <c r="A13" s="10" t="inlineStr">
        <is>
          <t>R010</t>
        </is>
      </c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M13" s="15" t="inlineStr">
        <is>
          <t>Low = Minor friction</t>
        </is>
      </c>
    </row>
    <row r="14">
      <c r="A14" s="10" t="inlineStr">
        <is>
          <t>R011</t>
        </is>
      </c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M14" s="15" t="inlineStr"/>
    </row>
    <row r="15">
      <c r="A15" s="10" t="inlineStr">
        <is>
          <t>R012</t>
        </is>
      </c>
      <c r="B15" s="10" t="n"/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M15" s="15" t="inlineStr">
        <is>
          <t>TIP: Treat resistance as</t>
        </is>
      </c>
    </row>
    <row r="16">
      <c r="A16" s="10" t="inlineStr">
        <is>
          <t>R013</t>
        </is>
      </c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M16" s="15" t="inlineStr">
        <is>
          <t>feedback, not opposition.</t>
        </is>
      </c>
    </row>
    <row r="17">
      <c r="A17" s="10" t="inlineStr">
        <is>
          <t>R014</t>
        </is>
      </c>
      <c r="B17" s="10" t="n"/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M17" s="15" t="inlineStr"/>
    </row>
    <row r="18">
      <c r="A18" s="10" t="inlineStr">
        <is>
          <t>R015</t>
        </is>
      </c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M18" s="15" t="inlineStr">
        <is>
          <t>REFERENCE: Chapter 11</t>
        </is>
      </c>
    </row>
    <row r="19">
      <c r="A19" s="10" t="inlineStr">
        <is>
          <t>R016</t>
        </is>
      </c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</row>
    <row r="20">
      <c r="A20" s="10" t="inlineStr">
        <is>
          <t>R017</t>
        </is>
      </c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</row>
    <row r="21">
      <c r="A21" s="10" t="inlineStr">
        <is>
          <t>R018</t>
        </is>
      </c>
      <c r="B21" s="10" t="n"/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</row>
    <row r="22">
      <c r="A22" s="10" t="inlineStr">
        <is>
          <t>R019</t>
        </is>
      </c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</row>
    <row r="23">
      <c r="A23" s="10" t="inlineStr">
        <is>
          <t>R020</t>
        </is>
      </c>
      <c r="B23" s="10" t="n"/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</row>
    <row r="24">
      <c r="A24" s="10" t="inlineStr">
        <is>
          <t>R021</t>
        </is>
      </c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</row>
    <row r="25">
      <c r="A25" s="10" t="inlineStr">
        <is>
          <t>R022</t>
        </is>
      </c>
      <c r="B25" s="10" t="n"/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</row>
    <row r="26">
      <c r="A26" s="10" t="inlineStr">
        <is>
          <t>R023</t>
        </is>
      </c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</row>
    <row r="27">
      <c r="A27" s="10" t="inlineStr">
        <is>
          <t>R024</t>
        </is>
      </c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</row>
    <row r="28">
      <c r="A28" s="10" t="inlineStr">
        <is>
          <t>R025</t>
        </is>
      </c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</row>
  </sheetData>
  <dataValidations count="4">
    <dataValidation sqref="D4:D50" showDropDown="0" showInputMessage="0" showErrorMessage="0" allowBlank="0" type="list">
      <formula1>"Active,Passive,Compliance"</formula1>
    </dataValidation>
    <dataValidation sqref="E4:E50" showDropDown="0" showInputMessage="0" showErrorMessage="0" allowBlank="0" type="list">
      <formula1>"Awareness,Desire,Knowledge,Ability,Reinforcement,Multiple"</formula1>
    </dataValidation>
    <dataValidation sqref="F4:F50" showDropDown="0" showInputMessage="0" showErrorMessage="0" allowBlank="0" type="list">
      <formula1>"High,Medium,Low"</formula1>
    </dataValidation>
    <dataValidation sqref="K4:K50" showDropDown="0" showInputMessage="0" showErrorMessage="0" allowBlank="0" type="list">
      <formula1>"New,Under Investigation,Mitigation In Progress,Resolved,Escalated,Accepted"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pane xSplit="11" topLeftCell="L1" activePane="topRight" state="frozen"/>
      <selection pane="topRight" activeCell="A1" sqref="A1"/>
    </sheetView>
  </sheetViews>
  <sheetFormatPr baseColWidth="8" defaultRowHeight="15"/>
  <cols>
    <col width="18" customWidth="1" min="1" max="1"/>
    <col width="25" customWidth="1" min="2" max="2"/>
    <col width="10" customWidth="1" min="3" max="3"/>
    <col width="12" customWidth="1" min="4" max="4"/>
    <col width="10" customWidth="1" min="5" max="5"/>
    <col width="28" customWidth="1" min="12" max="12"/>
  </cols>
  <sheetData>
    <row r="1">
      <c r="A1" s="9" t="inlineStr">
        <is>
          <t>KPI Dashboard</t>
        </is>
      </c>
      <c r="L1" s="2" t="inlineStr">
        <is>
          <t>INSTRUCTIONS</t>
        </is>
      </c>
    </row>
    <row r="2">
      <c r="L2" s="15" t="inlineStr">
        <is>
          <t>PURPOSE:</t>
        </is>
      </c>
    </row>
    <row r="3">
      <c r="A3" s="18" t="inlineStr">
        <is>
          <t>KPI DEFINITIONS</t>
        </is>
      </c>
      <c r="L3" s="15" t="inlineStr">
        <is>
          <t>Track 6 key OCM metrics</t>
        </is>
      </c>
    </row>
    <row r="4">
      <c r="A4" s="6" t="inlineStr">
        <is>
          <t>KPI</t>
        </is>
      </c>
      <c r="B4" s="6" t="inlineStr">
        <is>
          <t>Definition</t>
        </is>
      </c>
      <c r="C4" s="6" t="inlineStr">
        <is>
          <t>Target</t>
        </is>
      </c>
      <c r="D4" s="6" t="inlineStr">
        <is>
          <t>Method</t>
        </is>
      </c>
      <c r="E4" s="6" t="inlineStr">
        <is>
          <t>Frequency</t>
        </is>
      </c>
      <c r="L4" s="15" t="inlineStr"/>
    </row>
    <row r="5">
      <c r="A5" s="7" t="inlineStr">
        <is>
          <t>Awareness Level</t>
        </is>
      </c>
      <c r="B5" s="7" t="inlineStr">
        <is>
          <t>% aware of change</t>
        </is>
      </c>
      <c r="C5" s="7" t="inlineStr">
        <is>
          <t>100%</t>
        </is>
      </c>
      <c r="D5" s="7" t="inlineStr">
        <is>
          <t>Survey</t>
        </is>
      </c>
      <c r="E5" s="7" t="inlineStr">
        <is>
          <t>Monthly</t>
        </is>
      </c>
      <c r="L5" s="15" t="inlineStr">
        <is>
          <t>HOW TO USE:</t>
        </is>
      </c>
    </row>
    <row r="6">
      <c r="A6" s="7" t="inlineStr">
        <is>
          <t>Adoption Rate</t>
        </is>
      </c>
      <c r="B6" s="7" t="inlineStr">
        <is>
          <t>% using new system</t>
        </is>
      </c>
      <c r="C6" s="7" t="inlineStr">
        <is>
          <t>≥85%</t>
        </is>
      </c>
      <c r="D6" s="7" t="inlineStr">
        <is>
          <t>Usage data</t>
        </is>
      </c>
      <c r="E6" s="7" t="inlineStr">
        <is>
          <t>Weekly</t>
        </is>
      </c>
      <c r="L6" s="15" t="inlineStr">
        <is>
          <t>1. Enter measurements weekly</t>
        </is>
      </c>
    </row>
    <row r="7">
      <c r="A7" s="7" t="inlineStr">
        <is>
          <t>Proficiency Level</t>
        </is>
      </c>
      <c r="B7" s="7" t="inlineStr">
        <is>
          <t>% demonstrating competency</t>
        </is>
      </c>
      <c r="C7" s="7" t="inlineStr">
        <is>
          <t>≥80%</t>
        </is>
      </c>
      <c r="D7" s="7" t="inlineStr">
        <is>
          <t>Assessment</t>
        </is>
      </c>
      <c r="E7" s="7" t="inlineStr">
        <is>
          <t>Monthly</t>
        </is>
      </c>
      <c r="L7" s="15" t="inlineStr">
        <is>
          <t>2. Latest auto-populates</t>
        </is>
      </c>
    </row>
    <row r="8">
      <c r="A8" s="7" t="inlineStr">
        <is>
          <t>Resistance Level</t>
        </is>
      </c>
      <c r="B8" s="7" t="inlineStr">
        <is>
          <t>% showing resistance</t>
        </is>
      </c>
      <c r="C8" s="7" t="inlineStr">
        <is>
          <t>≤10%</t>
        </is>
      </c>
      <c r="D8" s="7" t="inlineStr">
        <is>
          <t>Log tracking</t>
        </is>
      </c>
      <c r="E8" s="7" t="inlineStr">
        <is>
          <t>Bi-weekly</t>
        </is>
      </c>
      <c r="L8" s="15" t="inlineStr">
        <is>
          <t>3. Compare to Target</t>
        </is>
      </c>
    </row>
    <row r="9">
      <c r="A9" s="7" t="inlineStr">
        <is>
          <t>Sponsor Engagement</t>
        </is>
      </c>
      <c r="B9" s="7" t="inlineStr">
        <is>
          <t>Sponsor effectiveness rating</t>
        </is>
      </c>
      <c r="C9" s="7" t="inlineStr">
        <is>
          <t>≥4/5</t>
        </is>
      </c>
      <c r="D9" s="7" t="inlineStr">
        <is>
          <t>Survey</t>
        </is>
      </c>
      <c r="E9" s="7" t="inlineStr">
        <is>
          <t>Monthly</t>
        </is>
      </c>
      <c r="L9" s="15" t="inlineStr">
        <is>
          <t>4. Take action on gaps</t>
        </is>
      </c>
    </row>
    <row r="10">
      <c r="A10" s="7" t="inlineStr">
        <is>
          <t>Sustainment Rate</t>
        </is>
      </c>
      <c r="B10" s="7" t="inlineStr">
        <is>
          <t>% maintaining after 90 days</t>
        </is>
      </c>
      <c r="C10" s="7" t="inlineStr">
        <is>
          <t>≥90%</t>
        </is>
      </c>
      <c r="D10" s="7" t="inlineStr">
        <is>
          <t>Audit</t>
        </is>
      </c>
      <c r="E10" s="7" t="inlineStr">
        <is>
          <t>Quarterly</t>
        </is>
      </c>
      <c r="L10" s="15" t="inlineStr"/>
    </row>
    <row r="11">
      <c r="L11" s="15" t="inlineStr">
        <is>
          <t>ACTION TRIGGERS:</t>
        </is>
      </c>
    </row>
    <row r="12">
      <c r="L12" s="15" t="inlineStr">
        <is>
          <t>Awareness &lt;80%: More comms</t>
        </is>
      </c>
    </row>
    <row r="13">
      <c r="A13" s="18" t="inlineStr">
        <is>
          <t>KPI TRACKING</t>
        </is>
      </c>
      <c r="L13" s="15" t="inlineStr">
        <is>
          <t>Adoption &lt;70%: Support focus</t>
        </is>
      </c>
    </row>
    <row r="14">
      <c r="A14" s="6" t="inlineStr">
        <is>
          <t>KPI</t>
        </is>
      </c>
      <c r="B14" s="6" t="inlineStr">
        <is>
          <t>Baseline</t>
        </is>
      </c>
      <c r="C14" s="6" t="inlineStr">
        <is>
          <t>Wk 1</t>
        </is>
      </c>
      <c r="D14" s="6" t="inlineStr">
        <is>
          <t>Wk 2</t>
        </is>
      </c>
      <c r="E14" s="6" t="inlineStr">
        <is>
          <t>Wk 3</t>
        </is>
      </c>
      <c r="F14" s="6" t="inlineStr">
        <is>
          <t>Wk 4</t>
        </is>
      </c>
      <c r="G14" s="6" t="inlineStr">
        <is>
          <t>Mo 2</t>
        </is>
      </c>
      <c r="H14" s="6" t="inlineStr">
        <is>
          <t>Mo 3</t>
        </is>
      </c>
      <c r="I14" s="6" t="inlineStr">
        <is>
          <t>Latest</t>
        </is>
      </c>
      <c r="J14" s="6" t="inlineStr">
        <is>
          <t>Target</t>
        </is>
      </c>
      <c r="L14" s="15" t="inlineStr">
        <is>
          <t>Proficiency &lt;60%: More training</t>
        </is>
      </c>
    </row>
    <row r="15">
      <c r="A15" s="7" t="inlineStr">
        <is>
          <t>Awareness Level</t>
        </is>
      </c>
      <c r="B15" s="7" t="n"/>
      <c r="C15" s="7" t="n"/>
      <c r="D15" s="7" t="n"/>
      <c r="E15" s="7" t="n"/>
      <c r="F15" s="7" t="n"/>
      <c r="G15" s="7" t="n"/>
      <c r="H15" s="7" t="n"/>
      <c r="I15" s="7">
        <f>IF(H15&lt;&gt;"",H15,IF(G15&lt;&gt;"",G15,IF(F15&lt;&gt;"",F15,IF(E15&lt;&gt;"",E15,IF(D15&lt;&gt;"",D15,IF(C15&lt;&gt;"",C15,B15))))))</f>
        <v/>
      </c>
      <c r="J15" s="7" t="inlineStr">
        <is>
          <t>100%</t>
        </is>
      </c>
      <c r="L15" s="15" t="inlineStr">
        <is>
          <t>Resistance &gt;20%: Root cause</t>
        </is>
      </c>
    </row>
    <row r="16">
      <c r="A16" s="7" t="inlineStr">
        <is>
          <t>Adoption Rate</t>
        </is>
      </c>
      <c r="B16" s="7" t="n"/>
      <c r="C16" s="7" t="n"/>
      <c r="D16" s="7" t="n"/>
      <c r="E16" s="7" t="n"/>
      <c r="F16" s="7" t="n"/>
      <c r="G16" s="7" t="n"/>
      <c r="H16" s="7" t="n"/>
      <c r="I16" s="7">
        <f>IF(H16&lt;&gt;"",H16,IF(G16&lt;&gt;"",G16,IF(F16&lt;&gt;"",F16,IF(E16&lt;&gt;"",E16,IF(D16&lt;&gt;"",D16,IF(C16&lt;&gt;"",C16,B16))))))</f>
        <v/>
      </c>
      <c r="J16" s="7" t="inlineStr">
        <is>
          <t>85%</t>
        </is>
      </c>
      <c r="L16" s="15" t="inlineStr"/>
    </row>
    <row r="17">
      <c r="A17" s="7" t="inlineStr">
        <is>
          <t>Proficiency Level</t>
        </is>
      </c>
      <c r="B17" s="7" t="n"/>
      <c r="C17" s="7" t="n"/>
      <c r="D17" s="7" t="n"/>
      <c r="E17" s="7" t="n"/>
      <c r="F17" s="7" t="n"/>
      <c r="G17" s="7" t="n"/>
      <c r="H17" s="7" t="n"/>
      <c r="I17" s="7">
        <f>IF(H17&lt;&gt;"",H17,IF(G17&lt;&gt;"",G17,IF(F17&lt;&gt;"",F17,IF(E17&lt;&gt;"",E17,IF(D17&lt;&gt;"",D17,IF(C17&lt;&gt;"",C17,B17))))))</f>
        <v/>
      </c>
      <c r="J17" s="7" t="inlineStr">
        <is>
          <t>80%</t>
        </is>
      </c>
      <c r="L17" s="15" t="inlineStr">
        <is>
          <t>REFERENCE: Chapter 12</t>
        </is>
      </c>
    </row>
    <row r="18">
      <c r="A18" s="7" t="inlineStr">
        <is>
          <t>Resistance Level</t>
        </is>
      </c>
      <c r="B18" s="7" t="n"/>
      <c r="C18" s="7" t="n"/>
      <c r="D18" s="7" t="n"/>
      <c r="E18" s="7" t="n"/>
      <c r="F18" s="7" t="n"/>
      <c r="G18" s="7" t="n"/>
      <c r="H18" s="7" t="n"/>
      <c r="I18" s="7">
        <f>IF(H18&lt;&gt;"",H18,IF(G18&lt;&gt;"",G18,IF(F18&lt;&gt;"",F18,IF(E18&lt;&gt;"",E18,IF(D18&lt;&gt;"",D18,IF(C18&lt;&gt;"",C18,B18))))))</f>
        <v/>
      </c>
      <c r="J18" s="7" t="inlineStr">
        <is>
          <t>10%</t>
        </is>
      </c>
    </row>
    <row r="19">
      <c r="A19" s="7" t="inlineStr">
        <is>
          <t>Sponsor Engagement</t>
        </is>
      </c>
      <c r="B19" s="7" t="n"/>
      <c r="C19" s="7" t="n"/>
      <c r="D19" s="7" t="n"/>
      <c r="E19" s="7" t="n"/>
      <c r="F19" s="7" t="n"/>
      <c r="G19" s="7" t="n"/>
      <c r="H19" s="7" t="n"/>
      <c r="I19" s="7">
        <f>IF(H19&lt;&gt;"",H19,IF(G19&lt;&gt;"",G19,IF(F19&lt;&gt;"",F19,IF(E19&lt;&gt;"",E19,IF(D19&lt;&gt;"",D19,IF(C19&lt;&gt;"",C19,B19))))))</f>
        <v/>
      </c>
      <c r="J19" s="7" t="inlineStr">
        <is>
          <t>4</t>
        </is>
      </c>
    </row>
    <row r="20">
      <c r="A20" s="7" t="inlineStr">
        <is>
          <t>Sustainment Rate</t>
        </is>
      </c>
      <c r="B20" s="7" t="n"/>
      <c r="C20" s="7" t="n"/>
      <c r="D20" s="7" t="n"/>
      <c r="E20" s="7" t="n"/>
      <c r="F20" s="7" t="n"/>
      <c r="G20" s="7" t="n"/>
      <c r="H20" s="7" t="n"/>
      <c r="I20" s="7">
        <f>IF(H20&lt;&gt;"",H20,IF(G20&lt;&gt;"",G20,IF(F20&lt;&gt;"",F20,IF(E20&lt;&gt;"",E20,IF(D20&lt;&gt;"",D20,IF(C20&lt;&gt;"",C20,B20))))))</f>
        <v/>
      </c>
      <c r="J20" s="7" t="inlineStr">
        <is>
          <t>90%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xSplit="9" topLeftCell="J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0" customWidth="1" min="7" max="7"/>
    <col width="10" customWidth="1" min="8" max="8"/>
    <col width="28" customWidth="1" min="10" max="10"/>
  </cols>
  <sheetData>
    <row r="1">
      <c r="A1" s="9" t="inlineStr">
        <is>
          <t>Maturity Assessment</t>
        </is>
      </c>
      <c r="J1" s="2" t="inlineStr">
        <is>
          <t>INSTRUCTIONS</t>
        </is>
      </c>
    </row>
    <row r="2">
      <c r="J2" s="15" t="inlineStr">
        <is>
          <t>PURPOSE:</t>
        </is>
      </c>
    </row>
    <row r="3">
      <c r="A3" s="6" t="inlineStr">
        <is>
          <t>Dimension</t>
        </is>
      </c>
      <c r="B3" s="6" t="inlineStr">
        <is>
          <t>L1: Ad-hoc</t>
        </is>
      </c>
      <c r="C3" s="6" t="inlineStr">
        <is>
          <t>L2: Emerging</t>
        </is>
      </c>
      <c r="D3" s="6" t="inlineStr">
        <is>
          <t>L3: Defined</t>
        </is>
      </c>
      <c r="E3" s="6" t="inlineStr">
        <is>
          <t>L4: Managed</t>
        </is>
      </c>
      <c r="F3" s="6" t="inlineStr">
        <is>
          <t>L5: Optimized</t>
        </is>
      </c>
      <c r="G3" s="6" t="inlineStr">
        <is>
          <t>Current</t>
        </is>
      </c>
      <c r="H3" s="6" t="inlineStr">
        <is>
          <t>Target</t>
        </is>
      </c>
      <c r="J3" s="15" t="inlineStr">
        <is>
          <t>Assess OCM maturity</t>
        </is>
      </c>
    </row>
    <row r="4">
      <c r="A4" s="10" t="inlineStr">
        <is>
          <t>Leadership</t>
        </is>
      </c>
      <c r="B4" s="10" t="inlineStr">
        <is>
          <t>No sponsors</t>
        </is>
      </c>
      <c r="C4" s="10" t="inlineStr">
        <is>
          <t>Inconsistent</t>
        </is>
      </c>
      <c r="D4" s="10" t="inlineStr">
        <is>
          <t>Model defined</t>
        </is>
      </c>
      <c r="E4" s="10" t="inlineStr">
        <is>
          <t>Measured</t>
        </is>
      </c>
      <c r="F4" s="10" t="inlineStr">
        <is>
          <t>Cultural norm</t>
        </is>
      </c>
      <c r="J4" s="15" t="inlineStr"/>
    </row>
    <row r="5">
      <c r="A5" s="10" t="inlineStr">
        <is>
          <t>Stakeholders</t>
        </is>
      </c>
      <c r="B5" s="10" t="inlineStr">
        <is>
          <t>Reactive</t>
        </is>
      </c>
      <c r="C5" s="10" t="inlineStr">
        <is>
          <t>Some ID</t>
        </is>
      </c>
      <c r="D5" s="10" t="inlineStr">
        <is>
          <t>Systematic</t>
        </is>
      </c>
      <c r="E5" s="10" t="inlineStr">
        <is>
          <t>Optimized</t>
        </is>
      </c>
      <c r="F5" s="10" t="inlineStr">
        <is>
          <t>Proactive culture</t>
        </is>
      </c>
      <c r="J5" s="15" t="inlineStr">
        <is>
          <t>HOW TO USE:</t>
        </is>
      </c>
    </row>
    <row r="6">
      <c r="A6" s="10" t="inlineStr">
        <is>
          <t>Communication</t>
        </is>
      </c>
      <c r="B6" s="10" t="inlineStr">
        <is>
          <t>Sporadic</t>
        </is>
      </c>
      <c r="C6" s="10" t="inlineStr">
        <is>
          <t>Basic plan</t>
        </is>
      </c>
      <c r="D6" s="10" t="inlineStr">
        <is>
          <t>Framework</t>
        </is>
      </c>
      <c r="E6" s="10" t="inlineStr">
        <is>
          <t>Measured</t>
        </is>
      </c>
      <c r="F6" s="10" t="inlineStr">
        <is>
          <t>Two-way culture</t>
        </is>
      </c>
      <c r="J6" s="15" t="inlineStr">
        <is>
          <t>1. Review level descriptions</t>
        </is>
      </c>
    </row>
    <row r="7">
      <c r="A7" s="10" t="inlineStr">
        <is>
          <t>Training</t>
        </is>
      </c>
      <c r="B7" s="10" t="inlineStr">
        <is>
          <t>If time permits</t>
        </is>
      </c>
      <c r="C7" s="10" t="inlineStr">
        <is>
          <t>Basic</t>
        </is>
      </c>
      <c r="D7" s="10" t="inlineStr">
        <is>
          <t>Role-based</t>
        </is>
      </c>
      <c r="E7" s="10" t="inlineStr">
        <is>
          <t>Measured</t>
        </is>
      </c>
      <c r="F7" s="10" t="inlineStr">
        <is>
          <t>Learning culture</t>
        </is>
      </c>
      <c r="J7" s="15" t="inlineStr">
        <is>
          <t>2. Rate Current state (1-5)</t>
        </is>
      </c>
    </row>
    <row r="8">
      <c r="A8" s="10" t="inlineStr">
        <is>
          <t>Resistance</t>
        </is>
      </c>
      <c r="B8" s="10" t="inlineStr">
        <is>
          <t>Ignored</t>
        </is>
      </c>
      <c r="C8" s="10" t="inlineStr">
        <is>
          <t>Acknowledged</t>
        </is>
      </c>
      <c r="D8" s="10" t="inlineStr">
        <is>
          <t>Process exists</t>
        </is>
      </c>
      <c r="E8" s="10" t="inlineStr">
        <is>
          <t>Data-driven</t>
        </is>
      </c>
      <c r="F8" s="10" t="inlineStr">
        <is>
          <t>Seen as feedback</t>
        </is>
      </c>
      <c r="J8" s="15" t="inlineStr">
        <is>
          <t>3. Set Target state (1-5)</t>
        </is>
      </c>
    </row>
    <row r="9">
      <c r="A9" s="10" t="inlineStr">
        <is>
          <t>Measurement</t>
        </is>
      </c>
      <c r="B9" s="10" t="inlineStr">
        <is>
          <t>No metrics</t>
        </is>
      </c>
      <c r="C9" s="10" t="inlineStr">
        <is>
          <t>Basic tracking</t>
        </is>
      </c>
      <c r="D9" s="10" t="inlineStr">
        <is>
          <t>KPI framework</t>
        </is>
      </c>
      <c r="E9" s="10" t="inlineStr">
        <is>
          <t>Data-driven</t>
        </is>
      </c>
      <c r="F9" s="10" t="inlineStr">
        <is>
          <t>Predictive</t>
        </is>
      </c>
      <c r="J9" s="15" t="inlineStr">
        <is>
          <t>4. Focus on largest gaps</t>
        </is>
      </c>
    </row>
    <row r="10">
      <c r="A10" s="10" t="inlineStr">
        <is>
          <t>Integration</t>
        </is>
      </c>
      <c r="B10" s="10" t="inlineStr">
        <is>
          <t>Separate</t>
        </is>
      </c>
      <c r="C10" s="10" t="inlineStr">
        <is>
          <t>Some projects</t>
        </is>
      </c>
      <c r="D10" s="10" t="inlineStr">
        <is>
          <t>In methodology</t>
        </is>
      </c>
      <c r="E10" s="10" t="inlineStr">
        <is>
          <t>Embedded</t>
        </is>
      </c>
      <c r="F10" s="10" t="inlineStr">
        <is>
          <t>Change-ready org</t>
        </is>
      </c>
      <c r="J10" s="15" t="inlineStr"/>
    </row>
    <row r="11">
      <c r="A11" s="10" t="inlineStr">
        <is>
          <t>Change Agents</t>
        </is>
      </c>
      <c r="B11" s="10" t="inlineStr">
        <is>
          <t>None</t>
        </is>
      </c>
      <c r="C11" s="10" t="inlineStr">
        <is>
          <t>Informal</t>
        </is>
      </c>
      <c r="D11" s="10" t="inlineStr">
        <is>
          <t>Formal program</t>
        </is>
      </c>
      <c r="E11" s="10" t="inlineStr">
        <is>
          <t>Developed</t>
        </is>
      </c>
      <c r="F11" s="10" t="inlineStr">
        <is>
          <t>Everyone is one</t>
        </is>
      </c>
      <c r="J11" s="15" t="inlineStr">
        <is>
          <t>LEVELS:</t>
        </is>
      </c>
    </row>
    <row r="12">
      <c r="J12" s="15" t="inlineStr">
        <is>
          <t>1 = Ad-hoc (reactive)</t>
        </is>
      </c>
    </row>
    <row r="13">
      <c r="J13" s="15" t="inlineStr">
        <is>
          <t>2 = Emerging (basic)</t>
        </is>
      </c>
    </row>
    <row r="14">
      <c r="A14" s="18" t="inlineStr">
        <is>
          <t>SUMMARY</t>
        </is>
      </c>
      <c r="J14" s="15" t="inlineStr">
        <is>
          <t>3 = Defined (standardized)</t>
        </is>
      </c>
    </row>
    <row r="15">
      <c r="A15" t="inlineStr">
        <is>
          <t>Current Average:</t>
        </is>
      </c>
      <c r="B15" s="7">
        <f>AVERAGE(G4:G11)</f>
        <v/>
      </c>
      <c r="J15" s="15" t="inlineStr">
        <is>
          <t>4 = Managed (measured)</t>
        </is>
      </c>
    </row>
    <row r="16">
      <c r="A16" t="inlineStr">
        <is>
          <t>Target Average:</t>
        </is>
      </c>
      <c r="B16" s="7">
        <f>AVERAGE(H4:H11)</f>
        <v/>
      </c>
      <c r="J16" s="15" t="inlineStr">
        <is>
          <t>5 = Optimized (continuous)</t>
        </is>
      </c>
    </row>
    <row r="17">
      <c r="A17" t="inlineStr">
        <is>
          <t>Gap:</t>
        </is>
      </c>
      <c r="B17" s="7">
        <f>B16-B15</f>
        <v/>
      </c>
      <c r="J17" s="15" t="inlineStr"/>
    </row>
    <row r="18">
      <c r="J18" s="15" t="inlineStr">
        <is>
          <t>REFERENCE: Chapter 14</t>
        </is>
      </c>
    </row>
  </sheetData>
  <dataValidations count="1">
    <dataValidation sqref="G4:H11" showDropDown="0" showInputMessage="0" showErrorMessage="0" allowBlank="0" type="list">
      <formula1>"1,2,3,4,5"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xSplit="7" topLeftCell="H1" activePane="topRight" state="frozen"/>
      <selection pane="topRight" activeCell="A1" sqref="A1"/>
    </sheetView>
  </sheetViews>
  <sheetFormatPr baseColWidth="8" defaultRowHeight="15"/>
  <cols>
    <col width="6" customWidth="1" min="1" max="1"/>
    <col width="22" customWidth="1" min="2" max="2"/>
    <col width="28" customWidth="1" min="3" max="3"/>
    <col width="8" customWidth="1" min="4" max="4"/>
    <col width="25" customWidth="1" min="5" max="5"/>
    <col width="25" customWidth="1" min="6" max="6"/>
    <col width="28" customWidth="1" min="8" max="8"/>
  </cols>
  <sheetData>
    <row r="1">
      <c r="A1" s="9" t="inlineStr">
        <is>
          <t>CSF Checklist</t>
        </is>
      </c>
      <c r="H1" s="2" t="inlineStr">
        <is>
          <t>INSTRUCTIONS</t>
        </is>
      </c>
    </row>
    <row r="2">
      <c r="H2" s="15" t="inlineStr">
        <is>
          <t>PURPOSE:</t>
        </is>
      </c>
    </row>
    <row r="3">
      <c r="A3" s="6" t="inlineStr">
        <is>
          <t>CSF #</t>
        </is>
      </c>
      <c r="B3" s="6" t="inlineStr">
        <is>
          <t>Critical Success Factor</t>
        </is>
      </c>
      <c r="C3" s="6" t="inlineStr">
        <is>
          <t>Key Questions</t>
        </is>
      </c>
      <c r="D3" s="6" t="inlineStr">
        <is>
          <t>Rating</t>
        </is>
      </c>
      <c r="E3" s="6" t="inlineStr">
        <is>
          <t>Evidence</t>
        </is>
      </c>
      <c r="F3" s="6" t="inlineStr">
        <is>
          <t>Actions</t>
        </is>
      </c>
      <c r="H3" s="15" t="inlineStr">
        <is>
          <t>Evaluate 8 Critical Success Factors</t>
        </is>
      </c>
    </row>
    <row r="4">
      <c r="A4" s="10" t="inlineStr">
        <is>
          <t>1</t>
        </is>
      </c>
      <c r="B4" s="10" t="inlineStr">
        <is>
          <t>Executive Sponsorship</t>
        </is>
      </c>
      <c r="C4" s="10" t="inlineStr">
        <is>
          <t>Visible, active exec support?</t>
        </is>
      </c>
      <c r="D4" s="10" t="inlineStr"/>
      <c r="E4" s="10" t="inlineStr"/>
      <c r="F4" s="10" t="inlineStr"/>
      <c r="H4" s="15" t="inlineStr"/>
    </row>
    <row r="5">
      <c r="A5" s="10" t="inlineStr">
        <is>
          <t>2</t>
        </is>
      </c>
      <c r="B5" s="10" t="inlineStr">
        <is>
          <t>Clear Vision</t>
        </is>
      </c>
      <c r="C5" s="10" t="inlineStr">
        <is>
          <t>Compelling why? Benefits clear?</t>
        </is>
      </c>
      <c r="D5" s="10" t="inlineStr"/>
      <c r="E5" s="10" t="inlineStr"/>
      <c r="F5" s="10" t="inlineStr"/>
      <c r="H5" s="15" t="inlineStr">
        <is>
          <t>RATING SCALE:</t>
        </is>
      </c>
    </row>
    <row r="6">
      <c r="A6" s="10" t="inlineStr">
        <is>
          <t>3</t>
        </is>
      </c>
      <c r="B6" s="10" t="inlineStr">
        <is>
          <t>Stakeholder Engagement</t>
        </is>
      </c>
      <c r="C6" s="10" t="inlineStr">
        <is>
          <t>Key stakeholders engaged?</t>
        </is>
      </c>
      <c r="D6" s="10" t="inlineStr"/>
      <c r="E6" s="10" t="inlineStr"/>
      <c r="F6" s="10" t="inlineStr"/>
      <c r="H6" s="15" t="inlineStr">
        <is>
          <t>1 = Not addressed</t>
        </is>
      </c>
    </row>
    <row r="7">
      <c r="A7" s="10" t="inlineStr">
        <is>
          <t>4</t>
        </is>
      </c>
      <c r="B7" s="10" t="inlineStr">
        <is>
          <t>Effective Communication</t>
        </is>
      </c>
      <c r="C7" s="10" t="inlineStr">
        <is>
          <t>Messages clear, reaching all?</t>
        </is>
      </c>
      <c r="D7" s="10" t="inlineStr"/>
      <c r="E7" s="10" t="inlineStr"/>
      <c r="F7" s="10" t="inlineStr"/>
      <c r="H7" s="15" t="inlineStr">
        <is>
          <t>2 = Minimal attention</t>
        </is>
      </c>
    </row>
    <row r="8">
      <c r="A8" s="10" t="inlineStr">
        <is>
          <t>5</t>
        </is>
      </c>
      <c r="B8" s="10" t="inlineStr">
        <is>
          <t>Training &amp; Capability</t>
        </is>
      </c>
      <c r="C8" s="10" t="inlineStr">
        <is>
          <t>Skills and knowledge adequate?</t>
        </is>
      </c>
      <c r="D8" s="10" t="inlineStr"/>
      <c r="E8" s="10" t="inlineStr"/>
      <c r="F8" s="10" t="inlineStr"/>
      <c r="H8" s="15" t="inlineStr">
        <is>
          <t>3 = Partially addressed</t>
        </is>
      </c>
    </row>
    <row r="9">
      <c r="A9" s="10" t="inlineStr">
        <is>
          <t>6</t>
        </is>
      </c>
      <c r="B9" s="10" t="inlineStr">
        <is>
          <t>Change Agent Network</t>
        </is>
      </c>
      <c r="C9" s="10" t="inlineStr">
        <is>
          <t>Local champions in place?</t>
        </is>
      </c>
      <c r="D9" s="10" t="inlineStr"/>
      <c r="E9" s="10" t="inlineStr"/>
      <c r="F9" s="10" t="inlineStr"/>
      <c r="H9" s="15" t="inlineStr">
        <is>
          <t>4 = Well addressed</t>
        </is>
      </c>
    </row>
    <row r="10">
      <c r="A10" s="10" t="inlineStr">
        <is>
          <t>7</t>
        </is>
      </c>
      <c r="B10" s="10" t="inlineStr">
        <is>
          <t>Resistance Management</t>
        </is>
      </c>
      <c r="C10" s="10" t="inlineStr">
        <is>
          <t>Resistance being addressed?</t>
        </is>
      </c>
      <c r="D10" s="10" t="inlineStr"/>
      <c r="E10" s="10" t="inlineStr"/>
      <c r="F10" s="10" t="inlineStr"/>
      <c r="H10" s="15" t="inlineStr">
        <is>
          <t>5 = Best practice</t>
        </is>
      </c>
    </row>
    <row r="11">
      <c r="A11" s="10" t="inlineStr">
        <is>
          <t>8</t>
        </is>
      </c>
      <c r="B11" s="10" t="inlineStr">
        <is>
          <t>Measurement</t>
        </is>
      </c>
      <c r="C11" s="10" t="inlineStr">
        <is>
          <t>Metrics tracked, wins celebrated?</t>
        </is>
      </c>
      <c r="D11" s="10" t="inlineStr"/>
      <c r="E11" s="10" t="inlineStr"/>
      <c r="F11" s="10" t="inlineStr"/>
      <c r="H11" s="15" t="inlineStr"/>
    </row>
    <row r="12">
      <c r="H12" s="15" t="inlineStr">
        <is>
          <t>INTERPRETATION:</t>
        </is>
      </c>
    </row>
    <row r="13">
      <c r="H13" s="15" t="inlineStr">
        <is>
          <t>Avg 4-5: Strong foundation</t>
        </is>
      </c>
    </row>
    <row r="14">
      <c r="A14" t="inlineStr">
        <is>
          <t>OVERALL SCORE:</t>
        </is>
      </c>
      <c r="B14" s="7">
        <f>AVERAGE(D4:D11)</f>
        <v/>
      </c>
      <c r="H14" s="15" t="inlineStr">
        <is>
          <t>Avg 3-4: Gaps exist</t>
        </is>
      </c>
    </row>
    <row r="15">
      <c r="H15" s="15" t="inlineStr">
        <is>
          <t>Avg 2-3: Significant risk</t>
        </is>
      </c>
    </row>
    <row r="16">
      <c r="H16" s="15" t="inlineStr">
        <is>
          <t>Avg 1-2: Critical gaps</t>
        </is>
      </c>
    </row>
    <row r="17">
      <c r="H17" s="15" t="inlineStr"/>
    </row>
    <row r="18">
      <c r="H18" s="15" t="inlineStr">
        <is>
          <t>REFERENCE: Chapter 3</t>
        </is>
      </c>
    </row>
  </sheetData>
  <dataValidations count="1">
    <dataValidation sqref="D4:D11" showDropDown="0" showInputMessage="0" showErrorMessage="0" allowBlank="0" type="list">
      <formula1>"1,2,3,4,5"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xSplit="12" topLeftCell="M1" activePane="topRight" state="frozen"/>
      <selection pane="topRight" activeCell="A1" sqref="A1"/>
    </sheetView>
  </sheetViews>
  <sheetFormatPr baseColWidth="8" defaultRowHeight="15"/>
  <cols>
    <col width="10" customWidth="1" min="1" max="1"/>
    <col width="25" customWidth="1" min="2" max="2"/>
    <col width="14" customWidth="1" min="3" max="3"/>
    <col width="8" customWidth="1" min="4" max="4"/>
    <col width="8" customWidth="1" min="5" max="5"/>
    <col width="8" customWidth="1" min="6" max="6"/>
    <col width="22" customWidth="1" min="7" max="7"/>
    <col width="10" customWidth="1" min="8" max="8"/>
    <col width="10" customWidth="1" min="9" max="9"/>
    <col width="12" customWidth="1" min="10" max="10"/>
    <col width="10" customWidth="1" min="11" max="11"/>
    <col width="28" customWidth="1" min="13" max="13"/>
  </cols>
  <sheetData>
    <row r="1">
      <c r="A1" s="9" t="inlineStr">
        <is>
          <t>Risk Register</t>
        </is>
      </c>
      <c r="M1" s="2" t="inlineStr">
        <is>
          <t>INSTRUCTIONS</t>
        </is>
      </c>
    </row>
    <row r="2">
      <c r="M2" s="15" t="inlineStr">
        <is>
          <t>PURPOSE:</t>
        </is>
      </c>
    </row>
    <row r="3">
      <c r="A3" s="6" t="inlineStr">
        <is>
          <t>ID</t>
        </is>
      </c>
      <c r="B3" s="6" t="inlineStr">
        <is>
          <t>Risk Description</t>
        </is>
      </c>
      <c r="C3" s="6" t="inlineStr">
        <is>
          <t>Category</t>
        </is>
      </c>
      <c r="D3" s="6" t="inlineStr">
        <is>
          <t>L (1-5)</t>
        </is>
      </c>
      <c r="E3" s="6" t="inlineStr">
        <is>
          <t>I (1-5)</t>
        </is>
      </c>
      <c r="F3" s="6" t="inlineStr">
        <is>
          <t>Score</t>
        </is>
      </c>
      <c r="G3" s="6" t="inlineStr">
        <is>
          <t>Mitigation</t>
        </is>
      </c>
      <c r="H3" s="6" t="inlineStr">
        <is>
          <t>Owner</t>
        </is>
      </c>
      <c r="I3" s="6" t="inlineStr">
        <is>
          <t>Due</t>
        </is>
      </c>
      <c r="J3" s="6" t="inlineStr">
        <is>
          <t>Status</t>
        </is>
      </c>
      <c r="K3" s="6" t="inlineStr">
        <is>
          <t>Residual</t>
        </is>
      </c>
      <c r="M3" s="15" t="inlineStr">
        <is>
          <t>Identify and manage OCM risks</t>
        </is>
      </c>
    </row>
    <row r="4">
      <c r="A4" s="7" t="inlineStr">
        <is>
          <t>OCM-001</t>
        </is>
      </c>
      <c r="B4" s="7" t="inlineStr">
        <is>
          <t>Inadequate sponsorship</t>
        </is>
      </c>
      <c r="C4" s="7" t="inlineStr">
        <is>
          <t>Sponsorship</t>
        </is>
      </c>
      <c r="D4" s="7" t="inlineStr"/>
      <c r="E4" s="7" t="inlineStr"/>
      <c r="F4" s="7">
        <f>IF(OR(D4="",E4=""),"",D4*E4)</f>
        <v/>
      </c>
      <c r="G4" s="7" t="inlineStr">
        <is>
          <t>Backup sponsor plan</t>
        </is>
      </c>
      <c r="H4" s="7" t="inlineStr"/>
      <c r="I4" s="7" t="inlineStr"/>
      <c r="J4" s="7" t="inlineStr">
        <is>
          <t>Open</t>
        </is>
      </c>
      <c r="K4" s="7" t="inlineStr"/>
      <c r="M4" s="15" t="inlineStr"/>
    </row>
    <row r="5">
      <c r="A5" s="7" t="inlineStr">
        <is>
          <t>OCM-002</t>
        </is>
      </c>
      <c r="B5" s="7" t="inlineStr">
        <is>
          <t>Resistance exceeds capacity</t>
        </is>
      </c>
      <c r="C5" s="7" t="inlineStr">
        <is>
          <t>Resistance</t>
        </is>
      </c>
      <c r="D5" s="7" t="inlineStr"/>
      <c r="E5" s="7" t="inlineStr"/>
      <c r="F5" s="7">
        <f>IF(OR(D5="",E5=""),"",D5*E5)</f>
        <v/>
      </c>
      <c r="G5" s="7" t="inlineStr">
        <is>
          <t>More change agents</t>
        </is>
      </c>
      <c r="H5" s="7" t="inlineStr"/>
      <c r="I5" s="7" t="inlineStr"/>
      <c r="J5" s="7" t="inlineStr">
        <is>
          <t>Open</t>
        </is>
      </c>
      <c r="K5" s="7" t="inlineStr"/>
      <c r="M5" s="15" t="inlineStr">
        <is>
          <t>HOW TO USE:</t>
        </is>
      </c>
    </row>
    <row r="6">
      <c r="A6" s="7" t="inlineStr">
        <is>
          <t>OCM-003</t>
        </is>
      </c>
      <c r="B6" s="7" t="inlineStr">
        <is>
          <t>Training timeline compressed</t>
        </is>
      </c>
      <c r="C6" s="7" t="inlineStr">
        <is>
          <t>Training</t>
        </is>
      </c>
      <c r="D6" s="7" t="inlineStr"/>
      <c r="E6" s="7" t="inlineStr"/>
      <c r="F6" s="7">
        <f>IF(OR(D6="",E6=""),"",D6*E6)</f>
        <v/>
      </c>
      <c r="G6" s="7" t="inlineStr">
        <is>
          <t>Add sessions</t>
        </is>
      </c>
      <c r="H6" s="7" t="inlineStr"/>
      <c r="I6" s="7" t="inlineStr"/>
      <c r="J6" s="7" t="inlineStr">
        <is>
          <t>Open</t>
        </is>
      </c>
      <c r="K6" s="7" t="inlineStr"/>
      <c r="M6" s="15" t="inlineStr">
        <is>
          <t>1. Describe each risk</t>
        </is>
      </c>
    </row>
    <row r="7">
      <c r="A7" s="7" t="inlineStr">
        <is>
          <t>OCM-004</t>
        </is>
      </c>
      <c r="B7" s="7" t="inlineStr">
        <is>
          <t>Comms not reaching all</t>
        </is>
      </c>
      <c r="C7" s="7" t="inlineStr">
        <is>
          <t>Communication</t>
        </is>
      </c>
      <c r="D7" s="7" t="inlineStr"/>
      <c r="E7" s="7" t="inlineStr"/>
      <c r="F7" s="7">
        <f>IF(OR(D7="",E7=""),"",D7*E7)</f>
        <v/>
      </c>
      <c r="G7" s="7" t="inlineStr">
        <is>
          <t>Multiple channels</t>
        </is>
      </c>
      <c r="H7" s="7" t="inlineStr"/>
      <c r="I7" s="7" t="inlineStr"/>
      <c r="J7" s="7" t="inlineStr">
        <is>
          <t>Open</t>
        </is>
      </c>
      <c r="K7" s="7" t="inlineStr"/>
      <c r="M7" s="15" t="inlineStr">
        <is>
          <t>2. Rate Likelihood (L) 1-5</t>
        </is>
      </c>
    </row>
    <row r="8">
      <c r="A8" s="7" t="inlineStr">
        <is>
          <t>OCM-005</t>
        </is>
      </c>
      <c r="B8" s="7" t="inlineStr">
        <is>
          <t>Change fatigue</t>
        </is>
      </c>
      <c r="C8" s="7" t="inlineStr">
        <is>
          <t>Capacity</t>
        </is>
      </c>
      <c r="D8" s="7" t="inlineStr"/>
      <c r="E8" s="7" t="inlineStr"/>
      <c r="F8" s="7">
        <f>IF(OR(D8="",E8=""),"",D8*E8)</f>
        <v/>
      </c>
      <c r="G8" s="7" t="inlineStr">
        <is>
          <t>Sequence changes</t>
        </is>
      </c>
      <c r="H8" s="7" t="inlineStr"/>
      <c r="I8" s="7" t="inlineStr"/>
      <c r="J8" s="7" t="inlineStr">
        <is>
          <t>Open</t>
        </is>
      </c>
      <c r="K8" s="7" t="inlineStr"/>
      <c r="M8" s="15" t="inlineStr">
        <is>
          <t>3. Rate Impact (I) 1-5</t>
        </is>
      </c>
    </row>
    <row r="9">
      <c r="A9" s="7" t="inlineStr">
        <is>
          <t>OCM-006</t>
        </is>
      </c>
      <c r="B9" s="7" t="n"/>
      <c r="C9" s="7" t="n"/>
      <c r="D9" s="7" t="n"/>
      <c r="E9" s="7" t="n"/>
      <c r="F9" s="7">
        <f>IF(OR(D9="",E9=""),"",D9*E9)</f>
        <v/>
      </c>
      <c r="G9" s="7" t="n"/>
      <c r="H9" s="7" t="n"/>
      <c r="I9" s="7" t="n"/>
      <c r="J9" s="7" t="n"/>
      <c r="K9" s="7" t="n"/>
      <c r="M9" s="15" t="inlineStr">
        <is>
          <t>4. Score auto-calculates (L×I)</t>
        </is>
      </c>
    </row>
    <row r="10">
      <c r="A10" s="7" t="inlineStr">
        <is>
          <t>OCM-007</t>
        </is>
      </c>
      <c r="B10" s="7" t="n"/>
      <c r="C10" s="7" t="n"/>
      <c r="D10" s="7" t="n"/>
      <c r="E10" s="7" t="n"/>
      <c r="F10" s="7">
        <f>IF(OR(D10="",E10=""),"",D10*E10)</f>
        <v/>
      </c>
      <c r="G10" s="7" t="n"/>
      <c r="H10" s="7" t="n"/>
      <c r="I10" s="7" t="n"/>
      <c r="J10" s="7" t="n"/>
      <c r="K10" s="7" t="n"/>
      <c r="M10" s="15" t="inlineStr">
        <is>
          <t>5. Plan mitigation</t>
        </is>
      </c>
    </row>
    <row r="11">
      <c r="A11" s="7" t="inlineStr">
        <is>
          <t>OCM-008</t>
        </is>
      </c>
      <c r="B11" s="7" t="n"/>
      <c r="C11" s="7" t="n"/>
      <c r="D11" s="7" t="n"/>
      <c r="E11" s="7" t="n"/>
      <c r="F11" s="7">
        <f>IF(OR(D11="",E11=""),"",D11*E11)</f>
        <v/>
      </c>
      <c r="G11" s="7" t="n"/>
      <c r="H11" s="7" t="n"/>
      <c r="I11" s="7" t="n"/>
      <c r="J11" s="7" t="n"/>
      <c r="K11" s="7" t="n"/>
      <c r="M11" s="15" t="inlineStr"/>
    </row>
    <row r="12">
      <c r="A12" s="7" t="inlineStr">
        <is>
          <t>OCM-009</t>
        </is>
      </c>
      <c r="B12" s="7" t="n"/>
      <c r="C12" s="7" t="n"/>
      <c r="D12" s="7" t="n"/>
      <c r="E12" s="7" t="n"/>
      <c r="F12" s="7">
        <f>IF(OR(D12="",E12=""),"",D12*E12)</f>
        <v/>
      </c>
      <c r="G12" s="7" t="n"/>
      <c r="H12" s="7" t="n"/>
      <c r="I12" s="7" t="n"/>
      <c r="J12" s="7" t="n"/>
      <c r="K12" s="7" t="n"/>
      <c r="M12" s="15" t="inlineStr">
        <is>
          <t>RISK SCORE:</t>
        </is>
      </c>
    </row>
    <row r="13">
      <c r="A13" s="7" t="inlineStr">
        <is>
          <t>OCM-010</t>
        </is>
      </c>
      <c r="B13" s="7" t="n"/>
      <c r="C13" s="7" t="n"/>
      <c r="D13" s="7" t="n"/>
      <c r="E13" s="7" t="n"/>
      <c r="F13" s="7">
        <f>IF(OR(D13="",E13=""),"",D13*E13)</f>
        <v/>
      </c>
      <c r="G13" s="7" t="n"/>
      <c r="H13" s="7" t="n"/>
      <c r="I13" s="7" t="n"/>
      <c r="J13" s="7" t="n"/>
      <c r="K13" s="7" t="n"/>
      <c r="M13" s="15" t="inlineStr">
        <is>
          <t>1-6 = Low (Monitor)</t>
        </is>
      </c>
    </row>
    <row r="14">
      <c r="A14" s="7" t="inlineStr">
        <is>
          <t>OCM-011</t>
        </is>
      </c>
      <c r="B14" s="7" t="n"/>
      <c r="C14" s="7" t="n"/>
      <c r="D14" s="7" t="n"/>
      <c r="E14" s="7" t="n"/>
      <c r="F14" s="7">
        <f>IF(OR(D14="",E14=""),"",D14*E14)</f>
        <v/>
      </c>
      <c r="G14" s="7" t="n"/>
      <c r="H14" s="7" t="n"/>
      <c r="I14" s="7" t="n"/>
      <c r="J14" s="7" t="n"/>
      <c r="K14" s="7" t="n"/>
      <c r="M14" s="15" t="inlineStr">
        <is>
          <t>7-14 = Medium (Plan needed)</t>
        </is>
      </c>
    </row>
    <row r="15">
      <c r="A15" s="7" t="inlineStr">
        <is>
          <t>OCM-012</t>
        </is>
      </c>
      <c r="B15" s="7" t="n"/>
      <c r="C15" s="7" t="n"/>
      <c r="D15" s="7" t="n"/>
      <c r="E15" s="7" t="n"/>
      <c r="F15" s="7">
        <f>IF(OR(D15="",E15=""),"",D15*E15)</f>
        <v/>
      </c>
      <c r="G15" s="7" t="n"/>
      <c r="H15" s="7" t="n"/>
      <c r="I15" s="7" t="n"/>
      <c r="J15" s="7" t="n"/>
      <c r="K15" s="7" t="n"/>
      <c r="M15" s="15" t="inlineStr">
        <is>
          <t>15-25 = High (Immediate)</t>
        </is>
      </c>
    </row>
    <row r="16">
      <c r="A16" s="7" t="inlineStr">
        <is>
          <t>OCM-013</t>
        </is>
      </c>
      <c r="B16" s="7" t="n"/>
      <c r="C16" s="7" t="n"/>
      <c r="D16" s="7" t="n"/>
      <c r="E16" s="7" t="n"/>
      <c r="F16" s="7">
        <f>IF(OR(D16="",E16=""),"",D16*E16)</f>
        <v/>
      </c>
      <c r="G16" s="7" t="n"/>
      <c r="H16" s="7" t="n"/>
      <c r="I16" s="7" t="n"/>
      <c r="J16" s="7" t="n"/>
      <c r="K16" s="7" t="n"/>
      <c r="M16" s="15" t="inlineStr"/>
    </row>
    <row r="17">
      <c r="A17" s="7" t="inlineStr">
        <is>
          <t>OCM-014</t>
        </is>
      </c>
      <c r="B17" s="7" t="n"/>
      <c r="C17" s="7" t="n"/>
      <c r="D17" s="7" t="n"/>
      <c r="E17" s="7" t="n"/>
      <c r="F17" s="7">
        <f>IF(OR(D17="",E17=""),"",D17*E17)</f>
        <v/>
      </c>
      <c r="G17" s="7" t="n"/>
      <c r="H17" s="7" t="n"/>
      <c r="I17" s="7" t="n"/>
      <c r="J17" s="7" t="n"/>
      <c r="K17" s="7" t="n"/>
      <c r="M17" s="15" t="inlineStr">
        <is>
          <t>REFERENCE: Chapter 4</t>
        </is>
      </c>
    </row>
    <row r="18">
      <c r="A18" s="7" t="inlineStr">
        <is>
          <t>OCM-015</t>
        </is>
      </c>
      <c r="B18" s="7" t="n"/>
      <c r="C18" s="7" t="n"/>
      <c r="D18" s="7" t="n"/>
      <c r="E18" s="7" t="n"/>
      <c r="F18" s="7">
        <f>IF(OR(D18="",E18=""),"",D18*E18)</f>
        <v/>
      </c>
      <c r="G18" s="7" t="n"/>
      <c r="H18" s="7" t="n"/>
      <c r="I18" s="7" t="n"/>
      <c r="J18" s="7" t="n"/>
      <c r="K18" s="7" t="n"/>
    </row>
    <row r="19">
      <c r="A19" s="7" t="inlineStr">
        <is>
          <t>OCM-016</t>
        </is>
      </c>
      <c r="B19" s="7" t="n"/>
      <c r="C19" s="7" t="n"/>
      <c r="D19" s="7" t="n"/>
      <c r="E19" s="7" t="n"/>
      <c r="F19" s="7">
        <f>IF(OR(D19="",E19=""),"",D19*E19)</f>
        <v/>
      </c>
      <c r="G19" s="7" t="n"/>
      <c r="H19" s="7" t="n"/>
      <c r="I19" s="7" t="n"/>
      <c r="J19" s="7" t="n"/>
      <c r="K19" s="7" t="n"/>
    </row>
    <row r="20">
      <c r="A20" s="7" t="inlineStr">
        <is>
          <t>OCM-017</t>
        </is>
      </c>
      <c r="B20" s="7" t="n"/>
      <c r="C20" s="7" t="n"/>
      <c r="D20" s="7" t="n"/>
      <c r="E20" s="7" t="n"/>
      <c r="F20" s="7">
        <f>IF(OR(D20="",E20=""),"",D20*E20)</f>
        <v/>
      </c>
      <c r="G20" s="7" t="n"/>
      <c r="H20" s="7" t="n"/>
      <c r="I20" s="7" t="n"/>
      <c r="J20" s="7" t="n"/>
      <c r="K20" s="7" t="n"/>
    </row>
    <row r="21">
      <c r="A21" s="7" t="inlineStr">
        <is>
          <t>OCM-018</t>
        </is>
      </c>
      <c r="B21" s="7" t="n"/>
      <c r="C21" s="7" t="n"/>
      <c r="D21" s="7" t="n"/>
      <c r="E21" s="7" t="n"/>
      <c r="F21" s="7">
        <f>IF(OR(D21="",E21=""),"",D21*E21)</f>
        <v/>
      </c>
      <c r="G21" s="7" t="n"/>
      <c r="H21" s="7" t="n"/>
      <c r="I21" s="7" t="n"/>
      <c r="J21" s="7" t="n"/>
      <c r="K21" s="7" t="n"/>
    </row>
    <row r="22">
      <c r="A22" s="7" t="inlineStr">
        <is>
          <t>OCM-019</t>
        </is>
      </c>
      <c r="B22" s="7" t="n"/>
      <c r="C22" s="7" t="n"/>
      <c r="D22" s="7" t="n"/>
      <c r="E22" s="7" t="n"/>
      <c r="F22" s="7">
        <f>IF(OR(D22="",E22=""),"",D22*E22)</f>
        <v/>
      </c>
      <c r="G22" s="7" t="n"/>
      <c r="H22" s="7" t="n"/>
      <c r="I22" s="7" t="n"/>
      <c r="J22" s="7" t="n"/>
      <c r="K22" s="7" t="n"/>
    </row>
    <row r="23">
      <c r="A23" s="7" t="inlineStr">
        <is>
          <t>OCM-020</t>
        </is>
      </c>
      <c r="B23" s="7" t="n"/>
      <c r="C23" s="7" t="n"/>
      <c r="D23" s="7" t="n"/>
      <c r="E23" s="7" t="n"/>
      <c r="F23" s="7">
        <f>IF(OR(D23="",E23=""),"",D23*E23)</f>
        <v/>
      </c>
      <c r="G23" s="7" t="n"/>
      <c r="H23" s="7" t="n"/>
      <c r="I23" s="7" t="n"/>
      <c r="J23" s="7" t="n"/>
      <c r="K23" s="7" t="n"/>
    </row>
  </sheetData>
  <dataValidations count="3">
    <dataValidation sqref="C4:C50" showDropDown="0" showInputMessage="0" showErrorMessage="0" allowBlank="0" type="list">
      <formula1>"Sponsorship,Communication,Training,Resistance,Resources,Timeline,Capacity,Sustainment"</formula1>
    </dataValidation>
    <dataValidation sqref="D4:D50 E4:E50 K4:K50" showDropDown="0" showInputMessage="0" showErrorMessage="0" allowBlank="0" type="list">
      <formula1>"1,2,3,4,5"</formula1>
    </dataValidation>
    <dataValidation sqref="J4:J50" showDropDown="0" showInputMessage="0" showErrorMessage="0" allowBlank="0" type="list">
      <formula1>"Open,In Progress,Mitigated,Closed,Accepted"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8"/>
  <sheetViews>
    <sheetView workbookViewId="0">
      <pane xSplit="11" topLeftCell="L1" activePane="topRight" state="frozen"/>
      <selection pane="topRight" activeCell="A1" sqref="A1"/>
    </sheetView>
  </sheetViews>
  <sheetFormatPr baseColWidth="8" defaultRowHeight="15"/>
  <cols>
    <col width="10" customWidth="1" min="1" max="1"/>
    <col width="18" customWidth="1" min="2" max="2"/>
    <col width="20" customWidth="1" min="3" max="3"/>
    <col width="20" customWidth="1" min="4" max="4"/>
    <col width="12" customWidth="1" min="5" max="5"/>
    <col width="10" customWidth="1" min="6" max="6"/>
    <col width="25" customWidth="1" min="7" max="7"/>
    <col width="25" customWidth="1" min="8" max="8"/>
    <col width="10" customWidth="1" min="9" max="9"/>
    <col width="14" customWidth="1" min="10" max="10"/>
    <col width="28" customWidth="1" min="12" max="12"/>
  </cols>
  <sheetData>
    <row r="1">
      <c r="A1" s="9" t="inlineStr">
        <is>
          <t>Change Impact Assessment</t>
        </is>
      </c>
      <c r="L1" s="2" t="inlineStr">
        <is>
          <t>INSTRUCTIONS</t>
        </is>
      </c>
    </row>
    <row r="2">
      <c r="L2" s="15" t="inlineStr">
        <is>
          <t>PURPOSE:</t>
        </is>
      </c>
    </row>
    <row r="3">
      <c r="A3" s="6" t="inlineStr">
        <is>
          <t>ID</t>
        </is>
      </c>
      <c r="B3" s="6" t="inlineStr">
        <is>
          <t>Group</t>
        </is>
      </c>
      <c r="C3" s="6" t="inlineStr">
        <is>
          <t>Current State</t>
        </is>
      </c>
      <c r="D3" s="6" t="inlineStr">
        <is>
          <t>Future State</t>
        </is>
      </c>
      <c r="E3" s="6" t="inlineStr">
        <is>
          <t>Type</t>
        </is>
      </c>
      <c r="F3" s="6" t="inlineStr">
        <is>
          <t>Severity</t>
        </is>
      </c>
      <c r="G3" s="6" t="inlineStr">
        <is>
          <t>Description</t>
        </is>
      </c>
      <c r="H3" s="6" t="inlineStr">
        <is>
          <t>Mitigation</t>
        </is>
      </c>
      <c r="I3" s="6" t="inlineStr">
        <is>
          <t>Owner</t>
        </is>
      </c>
      <c r="J3" s="6" t="inlineStr">
        <is>
          <t>Status</t>
        </is>
      </c>
      <c r="L3" s="15" t="inlineStr">
        <is>
          <t>Document change impacts</t>
        </is>
      </c>
    </row>
    <row r="4">
      <c r="A4" s="10" t="inlineStr">
        <is>
          <t>IMP-001</t>
        </is>
      </c>
      <c r="B4" s="10" t="n"/>
      <c r="C4" s="10" t="n"/>
      <c r="D4" s="10" t="n"/>
      <c r="E4" s="10" t="n"/>
      <c r="F4" s="10" t="n"/>
      <c r="G4" s="10" t="n"/>
      <c r="H4" s="10" t="n"/>
      <c r="I4" s="10" t="n"/>
      <c r="J4" s="10" t="n"/>
      <c r="L4" s="15" t="inlineStr"/>
    </row>
    <row r="5">
      <c r="A5" s="10" t="inlineStr">
        <is>
          <t>IMP-002</t>
        </is>
      </c>
      <c r="B5" s="10" t="n"/>
      <c r="C5" s="10" t="n"/>
      <c r="D5" s="10" t="n"/>
      <c r="E5" s="10" t="n"/>
      <c r="F5" s="10" t="n"/>
      <c r="G5" s="10" t="n"/>
      <c r="H5" s="10" t="n"/>
      <c r="I5" s="10" t="n"/>
      <c r="J5" s="10" t="n"/>
      <c r="L5" s="15" t="inlineStr">
        <is>
          <t>IMPACT TYPES:</t>
        </is>
      </c>
    </row>
    <row r="6">
      <c r="A6" s="10" t="inlineStr">
        <is>
          <t>IMP-003</t>
        </is>
      </c>
      <c r="B6" s="10" t="n"/>
      <c r="C6" s="10" t="n"/>
      <c r="D6" s="10" t="n"/>
      <c r="E6" s="10" t="n"/>
      <c r="F6" s="10" t="n"/>
      <c r="G6" s="10" t="n"/>
      <c r="H6" s="10" t="n"/>
      <c r="I6" s="10" t="n"/>
      <c r="J6" s="10" t="n"/>
      <c r="L6" s="15" t="inlineStr">
        <is>
          <t>• Process - How work is done</t>
        </is>
      </c>
    </row>
    <row r="7">
      <c r="A7" s="10" t="inlineStr">
        <is>
          <t>IMP-004</t>
        </is>
      </c>
      <c r="B7" s="10" t="n"/>
      <c r="C7" s="10" t="n"/>
      <c r="D7" s="10" t="n"/>
      <c r="E7" s="10" t="n"/>
      <c r="F7" s="10" t="n"/>
      <c r="G7" s="10" t="n"/>
      <c r="H7" s="10" t="n"/>
      <c r="I7" s="10" t="n"/>
      <c r="J7" s="10" t="n"/>
      <c r="L7" s="15" t="inlineStr">
        <is>
          <t>• Technology - Tools used</t>
        </is>
      </c>
    </row>
    <row r="8">
      <c r="A8" s="10" t="inlineStr">
        <is>
          <t>IMP-005</t>
        </is>
      </c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  <c r="L8" s="15" t="inlineStr">
        <is>
          <t>• Role - Responsibilities</t>
        </is>
      </c>
    </row>
    <row r="9">
      <c r="A9" s="10" t="inlineStr">
        <is>
          <t>IMP-006</t>
        </is>
      </c>
      <c r="B9" s="10" t="n"/>
      <c r="C9" s="10" t="n"/>
      <c r="D9" s="10" t="n"/>
      <c r="E9" s="10" t="n"/>
      <c r="F9" s="10" t="n"/>
      <c r="G9" s="10" t="n"/>
      <c r="H9" s="10" t="n"/>
      <c r="I9" s="10" t="n"/>
      <c r="J9" s="10" t="n"/>
      <c r="L9" s="15" t="inlineStr">
        <is>
          <t>• Skills - Capabilities needed</t>
        </is>
      </c>
    </row>
    <row r="10">
      <c r="A10" s="10" t="inlineStr">
        <is>
          <t>IMP-007</t>
        </is>
      </c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  <c r="L10" s="15" t="inlineStr">
        <is>
          <t>• Culture - Behaviors</t>
        </is>
      </c>
    </row>
    <row r="11">
      <c r="A11" s="10" t="inlineStr">
        <is>
          <t>IMP-008</t>
        </is>
      </c>
      <c r="B11" s="10" t="n"/>
      <c r="C11" s="10" t="n"/>
      <c r="D11" s="10" t="n"/>
      <c r="E11" s="10" t="n"/>
      <c r="F11" s="10" t="n"/>
      <c r="G11" s="10" t="n"/>
      <c r="H11" s="10" t="n"/>
      <c r="I11" s="10" t="n"/>
      <c r="J11" s="10" t="n"/>
      <c r="L11" s="15" t="inlineStr"/>
    </row>
    <row r="12">
      <c r="A12" s="10" t="inlineStr">
        <is>
          <t>IMP-009</t>
        </is>
      </c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  <c r="L12" s="15" t="inlineStr">
        <is>
          <t>SEVERITY:</t>
        </is>
      </c>
    </row>
    <row r="13">
      <c r="A13" s="10" t="inlineStr">
        <is>
          <t>IMP-010</t>
        </is>
      </c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L13" s="15" t="inlineStr">
        <is>
          <t>High = Fundamental change</t>
        </is>
      </c>
    </row>
    <row r="14">
      <c r="A14" s="10" t="inlineStr">
        <is>
          <t>IMP-011</t>
        </is>
      </c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L14" s="15" t="inlineStr">
        <is>
          <t>Medium = Significant adjust</t>
        </is>
      </c>
    </row>
    <row r="15">
      <c r="A15" s="10" t="inlineStr">
        <is>
          <t>IMP-012</t>
        </is>
      </c>
      <c r="B15" s="10" t="n"/>
      <c r="C15" s="10" t="n"/>
      <c r="D15" s="10" t="n"/>
      <c r="E15" s="10" t="n"/>
      <c r="F15" s="10" t="n"/>
      <c r="G15" s="10" t="n"/>
      <c r="H15" s="10" t="n"/>
      <c r="I15" s="10" t="n"/>
      <c r="J15" s="10" t="n"/>
      <c r="L15" s="15" t="inlineStr">
        <is>
          <t>Low = Minor adaptation</t>
        </is>
      </c>
    </row>
    <row r="16">
      <c r="A16" s="10" t="inlineStr">
        <is>
          <t>IMP-013</t>
        </is>
      </c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L16" s="15" t="inlineStr"/>
    </row>
    <row r="17">
      <c r="A17" s="10" t="inlineStr">
        <is>
          <t>IMP-014</t>
        </is>
      </c>
      <c r="B17" s="10" t="n"/>
      <c r="C17" s="10" t="n"/>
      <c r="D17" s="10" t="n"/>
      <c r="E17" s="10" t="n"/>
      <c r="F17" s="10" t="n"/>
      <c r="G17" s="10" t="n"/>
      <c r="H17" s="10" t="n"/>
      <c r="I17" s="10" t="n"/>
      <c r="J17" s="10" t="n"/>
      <c r="L17" s="15" t="inlineStr">
        <is>
          <t>REFERENCE: Chapter 6</t>
        </is>
      </c>
    </row>
    <row r="18">
      <c r="A18" s="10" t="inlineStr">
        <is>
          <t>IMP-015</t>
        </is>
      </c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</row>
    <row r="19">
      <c r="A19" s="10" t="inlineStr">
        <is>
          <t>IMP-016</t>
        </is>
      </c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</row>
    <row r="20">
      <c r="A20" s="10" t="inlineStr">
        <is>
          <t>IMP-017</t>
        </is>
      </c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</row>
    <row r="21">
      <c r="A21" s="10" t="inlineStr">
        <is>
          <t>IMP-018</t>
        </is>
      </c>
      <c r="B21" s="10" t="n"/>
      <c r="C21" s="10" t="n"/>
      <c r="D21" s="10" t="n"/>
      <c r="E21" s="10" t="n"/>
      <c r="F21" s="10" t="n"/>
      <c r="G21" s="10" t="n"/>
      <c r="H21" s="10" t="n"/>
      <c r="I21" s="10" t="n"/>
      <c r="J21" s="10" t="n"/>
    </row>
    <row r="22">
      <c r="A22" s="10" t="inlineStr">
        <is>
          <t>IMP-019</t>
        </is>
      </c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</row>
    <row r="23">
      <c r="A23" s="10" t="inlineStr">
        <is>
          <t>IMP-020</t>
        </is>
      </c>
      <c r="B23" s="10" t="n"/>
      <c r="C23" s="10" t="n"/>
      <c r="D23" s="10" t="n"/>
      <c r="E23" s="10" t="n"/>
      <c r="F23" s="10" t="n"/>
      <c r="G23" s="10" t="n"/>
      <c r="H23" s="10" t="n"/>
      <c r="I23" s="10" t="n"/>
      <c r="J23" s="10" t="n"/>
    </row>
    <row r="24">
      <c r="A24" s="10" t="inlineStr">
        <is>
          <t>IMP-021</t>
        </is>
      </c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</row>
    <row r="25">
      <c r="A25" s="10" t="inlineStr">
        <is>
          <t>IMP-022</t>
        </is>
      </c>
      <c r="B25" s="10" t="n"/>
      <c r="C25" s="10" t="n"/>
      <c r="D25" s="10" t="n"/>
      <c r="E25" s="10" t="n"/>
      <c r="F25" s="10" t="n"/>
      <c r="G25" s="10" t="n"/>
      <c r="H25" s="10" t="n"/>
      <c r="I25" s="10" t="n"/>
      <c r="J25" s="10" t="n"/>
    </row>
    <row r="26">
      <c r="A26" s="10" t="inlineStr">
        <is>
          <t>IMP-023</t>
        </is>
      </c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</row>
    <row r="27">
      <c r="A27" s="10" t="inlineStr">
        <is>
          <t>IMP-024</t>
        </is>
      </c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</row>
    <row r="28">
      <c r="A28" s="10" t="inlineStr">
        <is>
          <t>IMP-025</t>
        </is>
      </c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</row>
  </sheetData>
  <dataValidations count="3">
    <dataValidation sqref="E4:E50" showDropDown="0" showInputMessage="0" showErrorMessage="0" allowBlank="0" type="list">
      <formula1>"Process,Technology,Role,Skills,Culture,Reporting,Workload"</formula1>
    </dataValidation>
    <dataValidation sqref="F4:F50" showDropDown="0" showInputMessage="0" showErrorMessage="0" allowBlank="0" type="list">
      <formula1>"High,Medium,Low"</formula1>
    </dataValidation>
    <dataValidation sqref="J4:J50" showDropDown="0" showInputMessage="0" showErrorMessage="0" allowBlank="0" type="list">
      <formula1>"Identified,Analyzed,Mitigation Planned,In Progress,Closed"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2025-12-04T07:33:49Z</dcterms:created>
  <dcterms:modified xsi:type="dcterms:W3CDTF">2025-12-04T07:33:49Z</dcterms:modified>
</cp:coreProperties>
</file>